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avaamo/Desktop/"/>
    </mc:Choice>
  </mc:AlternateContent>
  <xr:revisionPtr revIDLastSave="0" documentId="8_{1D5EF303-174A-F44D-9FCD-6F7FDD9E0F78}" xr6:coauthVersionLast="47" xr6:coauthVersionMax="47" xr10:uidLastSave="{00000000-0000-0000-0000-000000000000}"/>
  <bookViews>
    <workbookView xWindow="0" yWindow="0" windowWidth="33600" windowHeight="21000" tabRatio="849" xr2:uid="{00000000-000D-0000-FFFF-FFFF00000000}"/>
  </bookViews>
  <sheets>
    <sheet name="Instructions" sheetId="22" r:id="rId1"/>
    <sheet name="Sheet1" sheetId="23" r:id="rId2"/>
    <sheet name="Dataset" sheetId="1" r:id="rId3"/>
    <sheet name="Task_1" sheetId="15" r:id="rId4"/>
    <sheet name="Task_2" sheetId="18" r:id="rId5"/>
    <sheet name="Task_3" sheetId="16" r:id="rId6"/>
    <sheet name="Task_4" sheetId="19" r:id="rId7"/>
    <sheet name="Task_5" sheetId="20" r:id="rId8"/>
  </sheets>
  <functionGroups builtInGroupCount="19"/>
  <definedNames>
    <definedName name="_xlnm._FilterDatabase" localSheetId="2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pivotCaches>
    <pivotCache cacheId="3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F30" i="18"/>
  <c r="C30" i="18"/>
  <c r="D30" i="18"/>
  <c r="E30" i="18"/>
  <c r="B30" i="18"/>
  <c r="E29" i="18"/>
  <c r="F29" i="18"/>
  <c r="C29" i="18"/>
  <c r="D29" i="18"/>
  <c r="B29" i="18"/>
  <c r="F28" i="18"/>
  <c r="C28" i="18"/>
  <c r="D28" i="18"/>
  <c r="E28" i="18"/>
  <c r="B28" i="18"/>
  <c r="C22" i="19" a="1"/>
  <c r="C22" i="19" s="1"/>
  <c r="C5" i="15"/>
  <c r="C4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<sst xmlns="http://schemas.openxmlformats.org/spreadsheetml/2006/main" count="408" uniqueCount="146">
  <si>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</si>
  <si>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</si>
  <si>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</si>
  <si>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</si>
  <si>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</si>
  <si>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</si>
  <si>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</si>
  <si>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</si>
  <si>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</si>
  <si>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</si>
  <si>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</si>
  <si>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</si>
  <si>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</si>
  <si>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</si>
  <si>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</si>
  <si>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</si>
  <si>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</si>
  <si>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</si>
  <si>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</si>
  <si>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</si>
  <si>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</si>
  <si>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</si>
  <si>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</si>
  <si>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</si>
  <si>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</si>
  <si>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</si>
  <si>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</si>
  <si>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</si>
  <si>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</si>
  <si>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</si>
  <si>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</si>
  <si>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</si>
  <si>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</si>
  <si>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</si>
  <si>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</si>
  <si>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</si>
  <si>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</si>
  <si>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</si>
  <si>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</si>
  <si>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</si>
  <si>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</si>
  <si>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</si>
  <si>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</si>
  <si>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</si>
  <si>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</si>
  <si>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</si>
  <si>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</si>
  <si>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</si>
  <si>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</si>
  <si>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</si>
  <si>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</si>
  <si>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</si>
  <si>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</si>
  <si>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</si>
  <si>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</si>
  <si>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</si>
  <si>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</si>
  <si>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</si>
  <si>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</si>
  <si>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</si>
  <si>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</si>
  <si>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</si>
  <si>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</si>
  <si>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</si>
  <si>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</si>
  <si>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</si>
  <si>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</si>
  <si>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</si>
  <si>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</si>
  <si>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</si>
  <si>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</si>
  <si>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</si>
  <si>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</si>
  <si>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</si>
  <si>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</si>
  <si>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</si>
  <si>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</si>
  <si>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</si>
  <si>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</si>
  <si>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</si>
  <si>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</si>
  <si>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</si>
  <si>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</si>
  <si>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</si>
  <si>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</si>
  <si>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</si>
  <si>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</si>
  <si>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</si>
  <si>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</si>
  <si>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</si>
  <si>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</si>
  <si>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</si>
  <si>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</si>
  <si>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</si>
  <si>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</si>
  <si>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</si>
  <si>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</si>
  <si>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</si>
  <si>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</si>
  <si>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</si>
  <si>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</si>
  <si>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</si>
  <si>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</si>
  <si>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</si>
  <si>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</si>
  <si>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</si>
  <si>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</si>
  <si>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</si>
  <si>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</si>
  <si>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</si>
  <si>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</si>
  <si>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</si>
  <si>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</si>
  <si>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</si>
  <si>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</si>
  <si>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</si>
  <si>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</si>
  <si>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</si>
  <si>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</si>
  <si>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</si>
  <si>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</si>
  <si>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</si>
  <si>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</si>
  <si>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</si>
  <si>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</si>
  <si>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</si>
  <si>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</si>
  <si>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</si>
  <si>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</si>
  <si>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</si>
  <si>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</si>
  <si>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</si>
  <si>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</si>
  <si>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</si>
  <si>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</si>
  <si>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</si>
  <si>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</si>
  <si>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</si>
  <si>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</si>
  <si>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Row Labels</t>
  </si>
  <si>
    <t>(blank)</t>
  </si>
  <si>
    <t>Grand Total</t>
  </si>
  <si>
    <t>Min. of car1</t>
  </si>
  <si>
    <t>Data&lt;Text to columns&lt;DELIMETERS(-)</t>
  </si>
  <si>
    <t>This formula assumes that your "Sales" column is in column B, and it calculates the sum of sales with the condition that #N/A values are replaced with 20, and any other errors are replaced with 0.</t>
  </si>
  <si>
    <t>IFERROR(INDEX($B$9:$J$18, MATCH(B10,$M$9:$N$180, 0), MATCH(M10, $M$9:$N$18, 0)), "")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</si>
</sst>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8" formatCode="0.0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1" xfId="0" applyFont="1" applyBorder="1"/>
    <xf numFmtId="0" fontId="3" fillId="6" borderId="1" xfId="0" applyFont="1" applyFill="1" applyBorder="1"/>
    <xf numFmtId="178" fontId="3" fillId="5" borderId="1" xfId="0" applyNumberFormat="1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1"/>
      <tableStyleElement type="headerRow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aamo" refreshedDate="45270.071049768521" createdVersion="8" refreshedVersion="8" minRefreshableVersion="3" recordCount="44" xr:uid="{20797097-F965-B44F-943B-59C34E89FD1E}">
  <cacheSource type="worksheet">
    <worksheetSource ref="A1:X1048576" sheet="Dataset"/>
  </cacheSource>
  <cacheFields count="24">
    <cacheField name="name" numFmtId="0">
      <sharedItems containsBlank="1" count="40">
        <s v="Warrendale"/>
        <s v="Butler Valley"/>
        <s v="Allegheny Valley"/>
        <s v="Pittsburgh"/>
        <s v="Irwin"/>
        <s v="New Stanton"/>
        <s v="Donegal"/>
        <s v="Somerset"/>
        <s v="Bedford"/>
        <s v="Breezewood"/>
        <s v="Fort Littleton"/>
        <s v="Willow Hill"/>
        <s v="Blue Mountain"/>
        <s v="Carlisle"/>
        <s v="Gettysburg Pike"/>
        <s v="Harrisburg West"/>
        <s v="Harrisburg East"/>
        <s v="Lebanon-Lancaster"/>
        <s v="Reading"/>
        <s v="Morgantown"/>
        <s v="Downingtown"/>
        <s v="S.R. 29"/>
        <s v="Valley Forge"/>
        <s v="Norristown"/>
        <s v="Fort Washington"/>
        <s v="Virginia Drive "/>
        <s v="Willow Grove"/>
        <s v="Bensalem"/>
        <s v="St. Rd "/>
        <s v="Neshaminy Falls"/>
        <s v="Mid-County"/>
        <s v="Lansdale"/>
        <s v="Quakertown"/>
        <s v="Lehigh Valley"/>
        <s v="Mahoning Valley"/>
        <s v="S.R. 903"/>
        <s v="Pocono"/>
        <s v="Wilkes-Barre"/>
        <s v="Wyoming Valley"/>
        <m/>
      </sharedItems>
    </cacheField>
    <cacheField name="ID" numFmtId="0">
      <sharedItems containsString="0" containsBlank="1" containsNumber="1" containsInteger="1" minValue="20000" maxValue="21016"/>
    </cacheField>
    <cacheField name="start_day" numFmtId="0">
      <sharedItems containsBlank="1" containsMixedTypes="1" containsNumber="1" minValue="1473.0000000000002" maxValue="1473.0000000000002"/>
    </cacheField>
    <cacheField name="start_time" numFmtId="164">
      <sharedItems containsNonDate="0" containsDate="1" containsString="0" containsBlank="1" minDate="1899-12-30T00:00:00" maxDate="1899-12-31T00:00:00"/>
    </cacheField>
    <cacheField name="end_day" numFmtId="0">
      <sharedItems containsBlank="1"/>
    </cacheField>
    <cacheField name="end_time" numFmtId="164">
      <sharedItems containsNonDate="0" containsDate="1" containsString="0" containsBlank="1" minDate="1899-12-30T23:59:59" maxDate="1899-12-30T23:59:59"/>
    </cacheField>
    <cacheField name="car1" numFmtId="0">
      <sharedItems containsString="0" containsBlank="1" containsNumber="1" minValue="-1" maxValue="51.8" count="36">
        <n v="2.7"/>
        <n v="3.6"/>
        <n v="4.9000000000000004"/>
        <n v="6.6"/>
        <n v="7.1"/>
        <n v="9.4"/>
        <n v="11.6"/>
        <n v="16.100000000000001"/>
        <n v="18.399999999999999"/>
        <n v="0"/>
        <n v="21.9"/>
        <n v="23.5"/>
        <n v="26.8"/>
        <n v="28"/>
        <n v="28.5"/>
        <n v="29.1"/>
        <n v="30.7"/>
        <n v="33.799999999999997"/>
        <n v="34.700000000000003"/>
        <n v="36.5"/>
        <n v="38"/>
        <n v="38.700000000000003"/>
        <n v="40.1"/>
        <n v="41.3"/>
        <n v="42.3"/>
        <n v="43.3"/>
        <n v="-1"/>
        <n v="45"/>
        <n v="41.5"/>
        <n v="44.5"/>
        <n v="47.3"/>
        <n v="48.3"/>
        <n v="49.1"/>
        <n v="50.6"/>
        <n v="51.8"/>
        <m/>
      </sharedItems>
    </cacheField>
    <cacheField name="car2" numFmtId="0">
      <sharedItems containsString="0" containsBlank="1" containsNumber="1" minValue="-1" maxValue="77.2"/>
    </cacheField>
    <cacheField name="car3" numFmtId="0">
      <sharedItems containsString="0" containsBlank="1" containsNumber="1" minValue="-1" maxValue="93.1"/>
    </cacheField>
    <cacheField name="moto1" numFmtId="0">
      <sharedItems containsString="0" containsBlank="1" containsNumber="1" containsInteger="1" minValue="-1" maxValue="0"/>
    </cacheField>
    <cacheField name="moto2" numFmtId="0">
      <sharedItems containsString="0" containsBlank="1" containsNumber="1" containsInteger="1" minValue="-1" maxValue="0"/>
    </cacheField>
    <cacheField name="moto3" numFmtId="0">
      <sharedItems containsString="0" containsBlank="1" containsNumber="1" containsInteger="1" minValue="-1" maxValue="0"/>
    </cacheField>
    <cacheField name="bus1" numFmtId="0">
      <sharedItems containsString="0" containsBlank="1" containsNumber="1" minValue="-1" maxValue="104.5"/>
    </cacheField>
    <cacheField name="bus2" numFmtId="0">
      <sharedItems containsString="0" containsBlank="1" containsNumber="1" minValue="-1" maxValue="156.4"/>
    </cacheField>
    <cacheField name="bus3" numFmtId="0">
      <sharedItems containsString="0" containsBlank="1" containsNumber="1" minValue="-1" maxValue="188.1"/>
    </cacheField>
    <cacheField name="rv1" numFmtId="0">
      <sharedItems containsString="0" containsBlank="1" containsNumber="1" minValue="-1" maxValue="51.8"/>
    </cacheField>
    <cacheField name="rv2" numFmtId="0">
      <sharedItems containsString="0" containsBlank="1" containsNumber="1" minValue="-1" maxValue="77.2"/>
    </cacheField>
    <cacheField name="rv3" numFmtId="0">
      <sharedItems containsString="0" containsBlank="1" containsNumber="1" minValue="-1" maxValue="93.1"/>
    </cacheField>
    <cacheField name="truck1" numFmtId="0">
      <sharedItems containsString="0" containsBlank="1" containsNumber="1" minValue="-1" maxValue="156.4"/>
    </cacheField>
    <cacheField name="truck2" numFmtId="0">
      <sharedItems containsString="0" containsBlank="1" containsNumber="1" minValue="-1" maxValue="188.1"/>
    </cacheField>
    <cacheField name="taxi1" numFmtId="0">
      <sharedItems containsString="0" containsBlank="1" containsNumber="1" minValue="-1" maxValue="77.2"/>
    </cacheField>
    <cacheField name="taxi2" numFmtId="0">
      <sharedItems containsString="0" containsBlank="1" containsNumber="1" minValue="-1" maxValue="93.1"/>
    </cacheField>
    <cacheField name="taxi3" numFmtId="0">
      <sharedItems containsString="0" containsBlank="1" containsNumber="1" minValue="-1" maxValue="93.1"/>
    </cacheField>
    <cacheField name="date" numFmtId="165">
      <sharedItems containsNonDate="0" containsDate="1" containsString="0" containsBlank="1" minDate="2023-05-02T00:00:00" maxDate="2023-09-1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n v="20000"/>
    <s v="Monday"/>
    <d v="1899-12-30T00:00:00"/>
    <s v="Sunday"/>
    <d v="1899-12-30T23:59:59"/>
    <x v="0"/>
    <n v="3.6"/>
    <n v="4.2"/>
    <n v="-1"/>
    <n v="-1"/>
    <n v="-1"/>
    <n v="5.3"/>
    <n v="7.6"/>
    <n v="8.9"/>
    <n v="2.7"/>
    <n v="3.6"/>
    <n v="4.2"/>
    <n v="7.6"/>
    <n v="8.9"/>
    <n v="3.6"/>
    <n v="4.2"/>
    <n v="4.2"/>
    <d v="2023-05-05T00:00:00"/>
  </r>
  <r>
    <x v="1"/>
    <n v="20002"/>
    <s v="Monday"/>
    <d v="1899-12-30T00:00:00"/>
    <s v="Sunday"/>
    <d v="1899-12-30T23:59:59"/>
    <x v="0"/>
    <n v="3.6"/>
    <n v="4.2"/>
    <n v="-1"/>
    <n v="-1"/>
    <n v="-1"/>
    <n v="5.3"/>
    <n v="7.6"/>
    <n v="8.9"/>
    <n v="2.7"/>
    <n v="3.6"/>
    <n v="4.2"/>
    <n v="7.6"/>
    <n v="8.9"/>
    <n v="3.6"/>
    <n v="4.2"/>
    <n v="4.2"/>
    <d v="2023-05-02T00:00:00"/>
  </r>
  <r>
    <x v="2"/>
    <n v="20004"/>
    <s v="Monday"/>
    <d v="1899-12-30T00:00:00"/>
    <s v="Sunday"/>
    <d v="1899-12-30T23:59:59"/>
    <x v="1"/>
    <n v="5.4"/>
    <n v="5.8"/>
    <n v="-1"/>
    <n v="-1"/>
    <n v="-1"/>
    <n v="7.6"/>
    <n v="11.1"/>
    <n v="12.2"/>
    <n v="3.6"/>
    <n v="5.4"/>
    <n v="5.8"/>
    <n v="11.1"/>
    <n v="12.2"/>
    <n v="5.4"/>
    <n v="5.8"/>
    <n v="5.8"/>
    <d v="2023-05-09T00:00:00"/>
  </r>
  <r>
    <x v="3"/>
    <n v="20006"/>
    <s v="Monday"/>
    <d v="1899-12-30T00:00:00"/>
    <s v="Sunday"/>
    <d v="1899-12-30T23:59:59"/>
    <x v="2"/>
    <n v="6.6"/>
    <n v="8.1"/>
    <n v="-1"/>
    <n v="-1"/>
    <n v="-1"/>
    <n v="10"/>
    <n v="13.3"/>
    <n v="17"/>
    <n v="4.9000000000000004"/>
    <n v="6.6"/>
    <n v="8.1"/>
    <n v="13.3"/>
    <n v="17"/>
    <n v="6.6"/>
    <n v="8.1"/>
    <n v="8.1"/>
    <d v="2023-05-13T00:00:00"/>
  </r>
  <r>
    <x v="4"/>
    <n v="20008"/>
    <s v="Monday"/>
    <d v="1899-12-30T00:00:00"/>
    <s v="Sunday"/>
    <d v="1899-12-30T23:59:59"/>
    <x v="3"/>
    <n v="8.8000000000000007"/>
    <n v="11"/>
    <n v="-1"/>
    <n v="-1"/>
    <n v="-1"/>
    <n v="13.3"/>
    <n v="18"/>
    <n v="22.5"/>
    <n v="6.6"/>
    <n v="8.8000000000000007"/>
    <n v="11"/>
    <n v="18"/>
    <n v="22.5"/>
    <n v="8.8000000000000007"/>
    <n v="11"/>
    <n v="11"/>
    <d v="2023-05-30T00:00:00"/>
  </r>
  <r>
    <x v="5"/>
    <n v="20010"/>
    <s v="Monday"/>
    <d v="1899-12-30T00:00:00"/>
    <s v="Sunday"/>
    <d v="1899-12-30T23:59:59"/>
    <x v="4"/>
    <n v="10.4"/>
    <n v="12.8"/>
    <n v="-1"/>
    <n v="-1"/>
    <n v="-1"/>
    <n v="14.4"/>
    <n v="21.5"/>
    <n v="26.1"/>
    <n v="7.1"/>
    <n v="10.4"/>
    <n v="12.8"/>
    <n v="21.5"/>
    <n v="26.1"/>
    <n v="10.4"/>
    <n v="12.8"/>
    <n v="12.8"/>
    <d v="2023-05-11T00:00:00"/>
  </r>
  <r>
    <x v="6"/>
    <n v="20012"/>
    <s v="Monday"/>
    <d v="1899-12-30T00:00:00"/>
    <s v="Sunday"/>
    <d v="1899-12-30T23:59:59"/>
    <x v="5"/>
    <n v="13.8"/>
    <n v="16.100000000000001"/>
    <n v="-1"/>
    <n v="-1"/>
    <n v="-1"/>
    <n v="19.2"/>
    <n v="28.3"/>
    <n v="32.799999999999997"/>
    <n v="9.4"/>
    <n v="13.8"/>
    <n v="16.100000000000001"/>
    <n v="28.3"/>
    <n v="32.799999999999997"/>
    <n v="13.8"/>
    <n v="16.100000000000001"/>
    <n v="16.100000000000001"/>
    <d v="2023-05-06T00:00:00"/>
  </r>
  <r>
    <x v="7"/>
    <n v="20014"/>
    <s v="Monday"/>
    <d v="1899-12-30T00:00:00"/>
    <s v="Sunday"/>
    <d v="1899-12-30T23:59:59"/>
    <x v="6"/>
    <n v="17.3"/>
    <n v="21.3"/>
    <n v="-1"/>
    <n v="-1"/>
    <n v="-1"/>
    <n v="23.6"/>
    <n v="35.200000000000003"/>
    <n v="43"/>
    <n v="11.6"/>
    <n v="17.3"/>
    <n v="21.3"/>
    <n v="35.200000000000003"/>
    <n v="43"/>
    <n v="17.3"/>
    <n v="21.3"/>
    <n v="21.3"/>
    <d v="2023-06-21T00:00:00"/>
  </r>
  <r>
    <x v="8"/>
    <n v="20016"/>
    <s v="Monday"/>
    <d v="1899-12-30T00:00:00"/>
    <s v="Sunday"/>
    <d v="1899-12-30T23:59:59"/>
    <x v="7"/>
    <n v="24.1"/>
    <n v="29.1"/>
    <n v="-1"/>
    <n v="-1"/>
    <n v="-1"/>
    <n v="32.799999999999997"/>
    <n v="49"/>
    <n v="59"/>
    <n v="16.100000000000001"/>
    <n v="24.1"/>
    <n v="29.1"/>
    <n v="49"/>
    <n v="59"/>
    <n v="24.1"/>
    <n v="29.1"/>
    <n v="29.1"/>
    <d v="2023-06-15T00:00:00"/>
  </r>
  <r>
    <x v="9"/>
    <n v="20018"/>
    <s v="Monday"/>
    <d v="1899-12-30T00:00:00"/>
    <s v="Sunday"/>
    <d v="1899-12-30T23:59:59"/>
    <x v="8"/>
    <n v="27.5"/>
    <n v="33.799999999999997"/>
    <n v="-1"/>
    <n v="-1"/>
    <n v="-1"/>
    <n v="37.200000000000003"/>
    <n v="55.6"/>
    <n v="67.900000000000006"/>
    <n v="18.399999999999999"/>
    <n v="27.5"/>
    <n v="33.799999999999997"/>
    <n v="55.6"/>
    <n v="67.900000000000006"/>
    <n v="27.5"/>
    <n v="33.799999999999997"/>
    <n v="33.799999999999997"/>
    <d v="2023-06-27T00:00:00"/>
  </r>
  <r>
    <x v="10"/>
    <n v="20020"/>
    <s v="Monday"/>
    <d v="1899-12-30T00:00:00"/>
    <s v="Sunday"/>
    <d v="1899-12-30T23:59:59"/>
    <x v="9"/>
    <n v="0"/>
    <n v="0"/>
    <n v="0"/>
    <n v="0"/>
    <n v="0"/>
    <n v="0"/>
    <n v="0"/>
    <n v="0"/>
    <n v="0"/>
    <n v="0"/>
    <n v="0"/>
    <n v="0"/>
    <n v="0"/>
    <n v="0"/>
    <n v="0"/>
    <n v="0"/>
    <d v="2023-07-09T00:00:00"/>
  </r>
  <r>
    <x v="11"/>
    <n v="20022"/>
    <s v="Monday"/>
    <d v="1899-12-30T00:00:00"/>
    <s v="Sunday"/>
    <d v="1899-12-30T23:59:59"/>
    <x v="10"/>
    <n v="32.1"/>
    <n v="40.1"/>
    <n v="-1"/>
    <n v="-1"/>
    <n v="-1"/>
    <n v="42.3"/>
    <n v="61.5"/>
    <n v="76.599999999999994"/>
    <n v="21.9"/>
    <n v="32.1"/>
    <n v="40.1"/>
    <n v="61.5"/>
    <n v="76.599999999999994"/>
    <n v="32.1"/>
    <n v="40.1"/>
    <n v="40.1"/>
    <d v="2023-07-03T00:00:00"/>
  </r>
  <r>
    <x v="12"/>
    <n v="20024"/>
    <s v="Monday"/>
    <d v="1899-12-30T00:00:00"/>
    <s v="Sunday"/>
    <d v="1899-12-30T23:59:59"/>
    <x v="11"/>
    <n v="34.700000000000003"/>
    <n v="42.7"/>
    <n v="-1"/>
    <n v="-1"/>
    <n v="-1"/>
    <n v="47.7"/>
    <n v="70.8"/>
    <n v="86.6"/>
    <n v="23.5"/>
    <n v="34.700000000000003"/>
    <n v="42.7"/>
    <n v="70.8"/>
    <n v="86.6"/>
    <n v="34.700000000000003"/>
    <n v="42.7"/>
    <n v="42.7"/>
    <d v="2023-06-18T00:00:00"/>
  </r>
  <r>
    <x v="13"/>
    <n v="20026"/>
    <s v="Monday"/>
    <d v="1899-12-30T00:00:00"/>
    <s v="Sunday"/>
    <d v="1899-12-30T23:59:59"/>
    <x v="12"/>
    <n v="39.299999999999997"/>
    <n v="47.9"/>
    <n v="-1"/>
    <n v="-1"/>
    <n v="-1"/>
    <n v="54.6"/>
    <n v="79.599999999999994"/>
    <n v="96.8"/>
    <n v="26.8"/>
    <n v="39.299999999999997"/>
    <n v="47.9"/>
    <n v="79.599999999999994"/>
    <n v="96.8"/>
    <n v="39.299999999999997"/>
    <n v="47.9"/>
    <n v="47.9"/>
    <d v="2023-07-06T00:00:00"/>
  </r>
  <r>
    <x v="14"/>
    <n v="20028"/>
    <s v="Monday"/>
    <d v="1899-12-30T00:00:00"/>
    <s v="Sunday"/>
    <d v="1899-12-30T23:59:59"/>
    <x v="13"/>
    <n v="41"/>
    <n v="50.1"/>
    <n v="-1"/>
    <n v="-1"/>
    <n v="-1"/>
    <n v="56.7"/>
    <n v="83.2"/>
    <n v="101.3"/>
    <n v="28"/>
    <n v="41"/>
    <n v="50.1"/>
    <n v="83.2"/>
    <n v="101.3"/>
    <n v="41"/>
    <n v="50.1"/>
    <n v="50.1"/>
    <d v="2023-05-17T00:00:00"/>
  </r>
  <r>
    <x v="15"/>
    <n v="20030"/>
    <s v="Monday"/>
    <d v="1899-12-30T00:00:00"/>
    <s v="Sunday"/>
    <d v="1899-12-30T23:59:59"/>
    <x v="14"/>
    <n v="42.3"/>
    <n v="52.3"/>
    <n v="-1"/>
    <n v="-1"/>
    <n v="-1"/>
    <n v="58.3"/>
    <n v="85.4"/>
    <n v="106.1"/>
    <n v="28.5"/>
    <n v="42.3"/>
    <n v="52.3"/>
    <n v="85.4"/>
    <n v="106.1"/>
    <n v="42.3"/>
    <n v="52.3"/>
    <n v="52.3"/>
    <d v="2023-05-25T00:00:00"/>
  </r>
  <r>
    <x v="16"/>
    <n v="20032"/>
    <s v="Monday"/>
    <d v="1899-12-30T00:00:00"/>
    <s v="Sunday"/>
    <d v="1899-12-30T23:59:59"/>
    <x v="15"/>
    <n v="43.3"/>
    <n v="53.7"/>
    <n v="-1"/>
    <n v="-1"/>
    <n v="-1"/>
    <n v="59"/>
    <n v="87.6"/>
    <n v="108.8"/>
    <n v="29.1"/>
    <n v="43.3"/>
    <n v="53.7"/>
    <n v="87.6"/>
    <n v="108.8"/>
    <n v="43.3"/>
    <n v="53.7"/>
    <n v="53.7"/>
    <d v="2023-06-08T00:00:00"/>
  </r>
  <r>
    <x v="17"/>
    <n v="20034"/>
    <s v="Monday"/>
    <d v="1899-12-30T00:00:00"/>
    <s v="Sunday"/>
    <d v="1899-12-30T23:59:59"/>
    <x v="16"/>
    <n v="45.5"/>
    <n v="57"/>
    <n v="-1"/>
    <n v="-1"/>
    <n v="-1"/>
    <n v="62.5"/>
    <n v="92.1"/>
    <n v="115.1"/>
    <n v="30.7"/>
    <n v="45.5"/>
    <n v="57"/>
    <n v="92.1"/>
    <n v="115.1"/>
    <n v="45.5"/>
    <n v="57"/>
    <n v="57"/>
    <d v="2023-06-22T00:00:00"/>
  </r>
  <r>
    <x v="18"/>
    <n v="20036"/>
    <s v="Monday"/>
    <d v="1899-12-30T00:00:00"/>
    <s v="Sunday"/>
    <d v="1899-12-30T23:59:59"/>
    <x v="17"/>
    <n v="50.1"/>
    <n v="61.4"/>
    <n v="-1"/>
    <n v="-1"/>
    <n v="-1"/>
    <n v="67.900000000000006"/>
    <n v="101.3"/>
    <n v="124.4"/>
    <n v="33.799999999999997"/>
    <n v="50.1"/>
    <n v="61.4"/>
    <n v="101.3"/>
    <n v="124.4"/>
    <n v="50.1"/>
    <n v="61.4"/>
    <n v="61.4"/>
    <d v="2023-06-14T00:00:00"/>
  </r>
  <r>
    <x v="19"/>
    <n v="20038"/>
    <s v="Monday"/>
    <d v="1899-12-30T00:00:00"/>
    <s v="Sunday"/>
    <d v="1899-12-30T23:59:59"/>
    <x v="18"/>
    <n v="52.3"/>
    <n v="63.6"/>
    <n v="-1"/>
    <n v="-1"/>
    <n v="-1"/>
    <n v="70.8"/>
    <n v="106.1"/>
    <n v="128.6"/>
    <n v="34.700000000000003"/>
    <n v="52.3"/>
    <n v="63.6"/>
    <n v="106.1"/>
    <n v="128.6"/>
    <n v="52.3"/>
    <n v="63.6"/>
    <n v="63.6"/>
    <d v="2023-06-02T00:00:00"/>
  </r>
  <r>
    <x v="20"/>
    <n v="20040"/>
    <s v="Monday"/>
    <d v="1899-12-30T00:00:00"/>
    <s v="Sunday"/>
    <d v="1899-12-30T23:59:59"/>
    <x v="19"/>
    <n v="54.6"/>
    <n v="65.900000000000006"/>
    <n v="-1"/>
    <n v="-1"/>
    <n v="-1"/>
    <n v="73.900000000000006"/>
    <n v="110.3"/>
    <n v="133.4"/>
    <n v="36.5"/>
    <n v="54.6"/>
    <n v="65.900000000000006"/>
    <n v="110.3"/>
    <n v="133.4"/>
    <n v="54.6"/>
    <n v="65.900000000000006"/>
    <n v="65.900000000000006"/>
    <d v="2023-05-29T00:00:00"/>
  </r>
  <r>
    <x v="21"/>
    <n v="20042"/>
    <s v="Monday"/>
    <d v="1899-12-30T00:00:00"/>
    <s v="Sunday"/>
    <d v="1899-12-30T23:59:59"/>
    <x v="20"/>
    <n v="57.2"/>
    <n v="68.7"/>
    <n v="-1"/>
    <n v="-1"/>
    <n v="-1"/>
    <n v="76.599999999999994"/>
    <n v="115.5"/>
    <n v="138.80000000000001"/>
    <n v="38"/>
    <n v="57.2"/>
    <n v="68.7"/>
    <n v="115.5"/>
    <n v="138.80000000000001"/>
    <n v="57.2"/>
    <n v="68.7"/>
    <n v="68.7"/>
    <d v="2023-07-03T00:00:00"/>
  </r>
  <r>
    <x v="22"/>
    <n v="20044"/>
    <s v="Monday"/>
    <d v="1899-12-30T00:00:00"/>
    <s v="Sunday"/>
    <d v="1899-12-30T23:59:59"/>
    <x v="21"/>
    <n v="59.2"/>
    <n v="70.400000000000006"/>
    <n v="-1"/>
    <n v="-1"/>
    <n v="-1"/>
    <n v="78.599999999999994"/>
    <n v="119.4"/>
    <n v="142.5"/>
    <n v="38.700000000000003"/>
    <n v="59.2"/>
    <n v="70.400000000000006"/>
    <n v="119.4"/>
    <n v="142.5"/>
    <n v="59.2"/>
    <n v="70.400000000000006"/>
    <n v="70.400000000000006"/>
    <d v="2023-07-07T00:00:00"/>
  </r>
  <r>
    <x v="23"/>
    <n v="20046"/>
    <s v="Monday"/>
    <d v="1899-12-30T00:00:00"/>
    <s v="Sunday"/>
    <d v="1899-12-30T23:59:59"/>
    <x v="22"/>
    <n v="59.2"/>
    <n v="72.8"/>
    <n v="-1"/>
    <n v="-1"/>
    <n v="-1"/>
    <n v="80.8"/>
    <n v="119.4"/>
    <n v="146.80000000000001"/>
    <n v="40.1"/>
    <n v="59.2"/>
    <n v="72.8"/>
    <n v="119.4"/>
    <n v="146.80000000000001"/>
    <n v="59.2"/>
    <n v="72.8"/>
    <n v="72.8"/>
    <d v="2023-07-11T00:00:00"/>
  </r>
  <r>
    <x v="24"/>
    <n v="20048"/>
    <s v="Monday"/>
    <d v="1899-12-30T00:00:00"/>
    <s v="Sunday"/>
    <d v="1899-12-30T23:59:59"/>
    <x v="9"/>
    <n v="0"/>
    <n v="0"/>
    <n v="0"/>
    <n v="0"/>
    <n v="0"/>
    <n v="0"/>
    <n v="0"/>
    <n v="0"/>
    <n v="0"/>
    <n v="0"/>
    <n v="0"/>
    <n v="0"/>
    <n v="0"/>
    <n v="0"/>
    <n v="0"/>
    <n v="0"/>
    <d v="2023-08-04T00:00:00"/>
  </r>
  <r>
    <x v="25"/>
    <n v="20050"/>
    <s v="Monday"/>
    <d v="1899-12-30T00:00:00"/>
    <s v="Sunday"/>
    <d v="1899-12-30T23:59:59"/>
    <x v="23"/>
    <n v="61.4"/>
    <n v="75"/>
    <n v="-1"/>
    <n v="-1"/>
    <n v="-1"/>
    <n v="83.5"/>
    <n v="124.4"/>
    <n v="151.5"/>
    <n v="41.3"/>
    <n v="61.4"/>
    <n v="75"/>
    <n v="124.4"/>
    <n v="151.5"/>
    <n v="61.4"/>
    <n v="75"/>
    <n v="75"/>
    <d v="2023-08-08T00:00:00"/>
  </r>
  <r>
    <x v="26"/>
    <n v="20052"/>
    <s v="Monday"/>
    <d v="1899-12-30T00:00:00"/>
    <s v="Sunday"/>
    <d v="1899-12-30T23:59:59"/>
    <x v="24"/>
    <n v="61.4"/>
    <n v="75"/>
    <n v="-1"/>
    <n v="-1"/>
    <n v="-1"/>
    <n v="85.4"/>
    <n v="124.4"/>
    <n v="151.5"/>
    <n v="42.3"/>
    <n v="61.4"/>
    <n v="75"/>
    <n v="124.4"/>
    <n v="151.5"/>
    <n v="61.4"/>
    <n v="75"/>
    <n v="75"/>
    <d v="2023-07-01T00:00:00"/>
  </r>
  <r>
    <x v="27"/>
    <n v="20054"/>
    <s v="Monday"/>
    <d v="1899-12-30T00:00:00"/>
    <s v="Sunday"/>
    <d v="1899-12-30T23:59:59"/>
    <x v="25"/>
    <n v="63.6"/>
    <n v="77.2"/>
    <n v="-1"/>
    <n v="-1"/>
    <n v="-1"/>
    <n v="87.6"/>
    <n v="128.6"/>
    <n v="156.4"/>
    <n v="43.3"/>
    <n v="63.6"/>
    <n v="77.2"/>
    <n v="128.6"/>
    <n v="156.4"/>
    <n v="63.6"/>
    <n v="77.2"/>
    <n v="77.2"/>
    <d v="2023-08-15T00:00:00"/>
  </r>
  <r>
    <x v="28"/>
    <n v="20058"/>
    <s v="Monday"/>
    <d v="1899-12-30T00:00:00"/>
    <s v="Sunday"/>
    <d v="1899-12-30T23:59:59"/>
    <x v="26"/>
    <n v="-1"/>
    <n v="-1"/>
    <n v="-1"/>
    <n v="-1"/>
    <n v="-1"/>
    <n v="-1"/>
    <n v="-1"/>
    <n v="-1"/>
    <n v="-1"/>
    <n v="-1"/>
    <n v="-1"/>
    <n v="-1"/>
    <n v="-1"/>
    <n v="-1"/>
    <n v="-1"/>
    <n v="-1"/>
    <d v="2023-08-12T00:00:00"/>
  </r>
  <r>
    <x v="29"/>
    <n v="20060"/>
    <s v="Monday"/>
    <d v="1899-12-30T00:00:00"/>
    <s v="Sunday"/>
    <d v="1899-12-30T23:59:59"/>
    <x v="27"/>
    <n v="65.900000000000006"/>
    <n v="79.400000000000006"/>
    <n v="-1"/>
    <n v="-1"/>
    <n v="-1"/>
    <n v="90.9"/>
    <n v="133.4"/>
    <n v="160.9"/>
    <n v="45"/>
    <n v="65.900000000000006"/>
    <n v="79.400000000000006"/>
    <n v="133.4"/>
    <n v="160.9"/>
    <n v="65.900000000000006"/>
    <n v="79.400000000000006"/>
    <n v="79.400000000000006"/>
    <d v="2023-08-19T00:00:00"/>
  </r>
  <r>
    <x v="30"/>
    <n v="21000"/>
    <s v="Monday"/>
    <d v="1899-12-30T00:00:00"/>
    <s v="Sunday"/>
    <d v="1899-12-30T23:59:59"/>
    <x v="26"/>
    <n v="-1"/>
    <n v="-1"/>
    <n v="-1"/>
    <n v="-1"/>
    <n v="-1"/>
    <n v="-1"/>
    <n v="-1"/>
    <n v="-1"/>
    <n v="-1"/>
    <n v="-1"/>
    <n v="-1"/>
    <n v="-1"/>
    <n v="-1"/>
    <n v="-1"/>
    <n v="-1"/>
    <n v="-1"/>
    <d v="2023-08-05T00:00:00"/>
  </r>
  <r>
    <x v="31"/>
    <n v="21002"/>
    <s v="Monday"/>
    <d v="1899-12-30T00:00:00"/>
    <s v="Sunday"/>
    <d v="1899-12-30T23:59:59"/>
    <x v="28"/>
    <n v="61.4"/>
    <n v="75"/>
    <n v="-1"/>
    <n v="-1"/>
    <n v="-1"/>
    <n v="84.6"/>
    <n v="124.4"/>
    <n v="151.5"/>
    <n v="41.5"/>
    <n v="61.4"/>
    <n v="75"/>
    <n v="124.4"/>
    <n v="151.5"/>
    <n v="61.4"/>
    <n v="75"/>
    <n v="75"/>
    <d v="2023-08-28T00:00:00"/>
  </r>
  <r>
    <x v="32"/>
    <n v="21004"/>
    <s v="Monday"/>
    <d v="1899-12-30T00:00:00"/>
    <s v="Sunday"/>
    <d v="1899-12-30T23:59:59"/>
    <x v="25"/>
    <n v="63.6"/>
    <n v="79.400000000000006"/>
    <n v="-1"/>
    <n v="-1"/>
    <n v="-1"/>
    <n v="87.6"/>
    <n v="128.6"/>
    <n v="160.9"/>
    <n v="43.3"/>
    <n v="63.6"/>
    <n v="79.400000000000006"/>
    <n v="128.6"/>
    <n v="160.9"/>
    <n v="63.6"/>
    <n v="79.400000000000006"/>
    <n v="79.400000000000006"/>
    <d v="2023-08-24T00:00:00"/>
  </r>
  <r>
    <x v="33"/>
    <n v="21006"/>
    <s v="Monday"/>
    <d v="1899-12-30T00:00:00"/>
    <s v="Sunday"/>
    <d v="1899-12-30T23:59:59"/>
    <x v="29"/>
    <n v="65.900000000000006"/>
    <n v="81.8"/>
    <n v="-1"/>
    <n v="-1"/>
    <n v="-1"/>
    <n v="89.9"/>
    <n v="133.4"/>
    <n v="165.3"/>
    <n v="44.5"/>
    <n v="65.900000000000006"/>
    <n v="81.8"/>
    <n v="133.4"/>
    <n v="165.3"/>
    <n v="65.900000000000006"/>
    <n v="81.8"/>
    <n v="81.8"/>
    <d v="2023-08-22T00:00:00"/>
  </r>
  <r>
    <x v="34"/>
    <n v="21008"/>
    <s v="Monday"/>
    <d v="1899-12-30T00:00:00"/>
    <s v="Sunday"/>
    <d v="1899-12-30T23:59:59"/>
    <x v="30"/>
    <n v="70.400000000000006"/>
    <n v="86.4"/>
    <n v="-1"/>
    <n v="-1"/>
    <n v="-1"/>
    <n v="95.6"/>
    <n v="142.5"/>
    <n v="174.2"/>
    <n v="47.3"/>
    <n v="70.400000000000006"/>
    <n v="86.4"/>
    <n v="142.5"/>
    <n v="174.2"/>
    <n v="70.400000000000006"/>
    <n v="86.4"/>
    <n v="86.4"/>
    <d v="2023-09-10T00:00:00"/>
  </r>
  <r>
    <x v="35"/>
    <n v="21010"/>
    <s v="Monday"/>
    <d v="1899-12-30T00:00:00"/>
    <s v="Sunday"/>
    <d v="1899-12-30T23:59:59"/>
    <x v="31"/>
    <n v="72"/>
    <n v="89"/>
    <n v="-1"/>
    <n v="-1"/>
    <n v="-1"/>
    <n v="97.9"/>
    <n v="145.5"/>
    <n v="179.8"/>
    <n v="48.3"/>
    <n v="72"/>
    <n v="89"/>
    <n v="145.5"/>
    <n v="179.8"/>
    <n v="72"/>
    <n v="89"/>
    <n v="89"/>
    <d v="2023-08-19T00:00:00"/>
  </r>
  <r>
    <x v="36"/>
    <n v="21012"/>
    <s v="Monday"/>
    <d v="1899-12-30T00:00:00"/>
    <s v="Sunday"/>
    <d v="1899-12-30T23:59:59"/>
    <x v="32"/>
    <n v="72.8"/>
    <n v="90.9"/>
    <n v="-1"/>
    <n v="-1"/>
    <n v="-1"/>
    <n v="99.5"/>
    <n v="146.80000000000001"/>
    <n v="183.5"/>
    <n v="49.1"/>
    <n v="72.8"/>
    <n v="90.9"/>
    <n v="146.80000000000001"/>
    <n v="183.5"/>
    <n v="72.8"/>
    <n v="90.9"/>
    <n v="90.9"/>
    <d v="2023-08-05T00:00:00"/>
  </r>
  <r>
    <x v="37"/>
    <n v="21014"/>
    <s v="Monday"/>
    <d v="1899-12-30T00:00:00"/>
    <s v="Sunday"/>
    <d v="1899-12-30T23:59:59"/>
    <x v="33"/>
    <n v="75"/>
    <n v="93.1"/>
    <n v="-1"/>
    <n v="-1"/>
    <n v="-1"/>
    <n v="102.6"/>
    <n v="151.5"/>
    <n v="188.1"/>
    <n v="50.6"/>
    <n v="75"/>
    <n v="93.1"/>
    <n v="151.5"/>
    <n v="188.1"/>
    <n v="75"/>
    <n v="93.1"/>
    <n v="93.1"/>
    <d v="2023-08-28T00:00:00"/>
  </r>
  <r>
    <x v="38"/>
    <n v="21016"/>
    <s v="Monday"/>
    <d v="1899-12-30T00:00:00"/>
    <s v="Sunday"/>
    <d v="1899-12-30T23:59:59"/>
    <x v="34"/>
    <n v="77.2"/>
    <n v="93.1"/>
    <n v="-1"/>
    <n v="-1"/>
    <n v="-1"/>
    <n v="104.5"/>
    <n v="156.4"/>
    <n v="188.1"/>
    <n v="51.8"/>
    <n v="77.2"/>
    <n v="93.1"/>
    <n v="156.4"/>
    <n v="188.1"/>
    <n v="77.2"/>
    <n v="93.1"/>
    <n v="93.1"/>
    <d v="2023-08-24T00:00:00"/>
  </r>
  <r>
    <x v="39"/>
    <m/>
    <m/>
    <m/>
    <m/>
    <m/>
    <x v="35"/>
    <m/>
    <m/>
    <m/>
    <m/>
    <m/>
    <m/>
    <m/>
    <m/>
    <m/>
    <m/>
    <m/>
    <m/>
    <m/>
    <m/>
    <m/>
    <m/>
    <m/>
  </r>
  <r>
    <x v="39"/>
    <m/>
    <m/>
    <m/>
    <m/>
    <m/>
    <x v="35"/>
    <m/>
    <m/>
    <m/>
    <m/>
    <m/>
    <m/>
    <m/>
    <m/>
    <m/>
    <m/>
    <m/>
    <m/>
    <m/>
    <m/>
    <m/>
    <m/>
    <m/>
  </r>
  <r>
    <x v="39"/>
    <m/>
    <m/>
    <m/>
    <m/>
    <m/>
    <x v="35"/>
    <m/>
    <m/>
    <m/>
    <m/>
    <m/>
    <m/>
    <m/>
    <m/>
    <m/>
    <m/>
    <m/>
    <m/>
    <m/>
    <m/>
    <m/>
    <m/>
    <m/>
  </r>
  <r>
    <x v="39"/>
    <m/>
    <n v="1473.0000000000002"/>
    <m/>
    <m/>
    <m/>
    <x v="35"/>
    <m/>
    <m/>
    <m/>
    <m/>
    <m/>
    <m/>
    <m/>
    <m/>
    <m/>
    <m/>
    <m/>
    <m/>
    <m/>
    <m/>
    <m/>
    <m/>
    <m/>
  </r>
  <r>
    <x v="39"/>
    <m/>
    <m/>
    <m/>
    <m/>
    <m/>
    <x v="35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C509C8-51A5-7144-9569-E5C1ABA3D0F3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44" firstHeaderRow="1" firstDataRow="1" firstDataCol="1"/>
  <pivotFields count="24">
    <pivotField axis="axisRow" showAll="0">
      <items count="41">
        <item x="2"/>
        <item x="8"/>
        <item x="27"/>
        <item x="12"/>
        <item x="9"/>
        <item x="1"/>
        <item x="13"/>
        <item x="6"/>
        <item x="20"/>
        <item x="10"/>
        <item x="24"/>
        <item x="14"/>
        <item x="16"/>
        <item x="15"/>
        <item x="4"/>
        <item x="31"/>
        <item x="17"/>
        <item x="33"/>
        <item x="34"/>
        <item x="30"/>
        <item x="19"/>
        <item x="29"/>
        <item x="5"/>
        <item x="23"/>
        <item x="3"/>
        <item x="36"/>
        <item x="32"/>
        <item x="18"/>
        <item x="21"/>
        <item x="35"/>
        <item x="7"/>
        <item x="28"/>
        <item x="22"/>
        <item x="25"/>
        <item x="0"/>
        <item x="37"/>
        <item x="26"/>
        <item x="11"/>
        <item x="38"/>
        <item x="39"/>
        <item t="default"/>
      </items>
    </pivotField>
    <pivotField showAll="0"/>
    <pivotField showAll="0"/>
    <pivotField showAll="0"/>
    <pivotField showAll="0"/>
    <pivotField showAll="0"/>
    <pivotField dataField="1" showAll="0">
      <items count="37">
        <item x="26"/>
        <item x="9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8"/>
        <item x="24"/>
        <item x="25"/>
        <item x="29"/>
        <item x="27"/>
        <item x="30"/>
        <item x="31"/>
        <item x="32"/>
        <item x="33"/>
        <item x="3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rowItems>
  <colItems count="1">
    <i/>
  </colItems>
  <dataFields count="1">
    <dataField name="Min. of car1" fld="6" subtotal="min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D27" sqref="D27"/>
    </sheetView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">
      <c r="A4" s="2" t="s">
        <v>111</v>
      </c>
      <c r="C4" s="1"/>
    </row>
    <row r="5" spans="1:3" x14ac:dyDescent="0.2">
      <c r="A5" s="2" t="s">
        <v>114</v>
      </c>
    </row>
    <row r="8" spans="1:3" x14ac:dyDescent="0.2">
      <c r="A8" s="2" t="s">
        <v>135</v>
      </c>
    </row>
    <row r="9" spans="1:3" x14ac:dyDescent="0.2">
      <c r="A9" s="35" t="s">
        <v>133</v>
      </c>
      <c r="B9" s="25" t="s">
        <v>131</v>
      </c>
    </row>
    <row r="10" spans="1:3" x14ac:dyDescent="0.2">
      <c r="A10" s="34" t="s">
        <v>134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132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2AD6B-5013-AB43-A335-A4AD0B728C66}">
  <dimension ref="A3:B44"/>
  <sheetViews>
    <sheetView workbookViewId="0">
      <selection activeCell="B38" sqref="B38"/>
    </sheetView>
  </sheetViews>
  <sheetFormatPr baseColWidth="10" defaultRowHeight="13" x14ac:dyDescent="0.15"/>
  <cols>
    <col min="1" max="1" width="16.19921875" bestFit="1" customWidth="1"/>
    <col min="2" max="2" width="12" bestFit="1" customWidth="1"/>
  </cols>
  <sheetData>
    <row r="3" spans="1:2" x14ac:dyDescent="0.15">
      <c r="A3" s="46" t="s">
        <v>139</v>
      </c>
      <c r="B3" t="s">
        <v>142</v>
      </c>
    </row>
    <row r="4" spans="1:2" x14ac:dyDescent="0.15">
      <c r="A4" s="47" t="s">
        <v>7</v>
      </c>
      <c r="B4" s="48">
        <v>3.6</v>
      </c>
    </row>
    <row r="5" spans="1:2" x14ac:dyDescent="0.15">
      <c r="A5" s="47" t="s">
        <v>13</v>
      </c>
      <c r="B5" s="48">
        <v>16.100000000000001</v>
      </c>
    </row>
    <row r="6" spans="1:2" x14ac:dyDescent="0.15">
      <c r="A6" s="47" t="s">
        <v>30</v>
      </c>
      <c r="B6" s="48">
        <v>43.3</v>
      </c>
    </row>
    <row r="7" spans="1:2" x14ac:dyDescent="0.15">
      <c r="A7" s="47" t="s">
        <v>17</v>
      </c>
      <c r="B7" s="48">
        <v>23.5</v>
      </c>
    </row>
    <row r="8" spans="1:2" x14ac:dyDescent="0.15">
      <c r="A8" s="47" t="s">
        <v>14</v>
      </c>
      <c r="B8" s="48">
        <v>18.399999999999999</v>
      </c>
    </row>
    <row r="9" spans="1:2" x14ac:dyDescent="0.15">
      <c r="A9" s="47" t="s">
        <v>4</v>
      </c>
      <c r="B9" s="48">
        <v>2.7</v>
      </c>
    </row>
    <row r="10" spans="1:2" x14ac:dyDescent="0.15">
      <c r="A10" s="47" t="s">
        <v>18</v>
      </c>
      <c r="B10" s="48">
        <v>26.8</v>
      </c>
    </row>
    <row r="11" spans="1:2" x14ac:dyDescent="0.15">
      <c r="A11" s="47" t="s">
        <v>11</v>
      </c>
      <c r="B11" s="48">
        <v>9.4</v>
      </c>
    </row>
    <row r="12" spans="1:2" x14ac:dyDescent="0.15">
      <c r="A12" s="47" t="s">
        <v>25</v>
      </c>
      <c r="B12" s="48">
        <v>36.5</v>
      </c>
    </row>
    <row r="13" spans="1:2" x14ac:dyDescent="0.15">
      <c r="A13" s="47" t="s">
        <v>15</v>
      </c>
      <c r="B13" s="48">
        <v>0</v>
      </c>
    </row>
    <row r="14" spans="1:2" x14ac:dyDescent="0.15">
      <c r="A14" s="47" t="s">
        <v>28</v>
      </c>
      <c r="B14" s="48">
        <v>0</v>
      </c>
    </row>
    <row r="15" spans="1:2" x14ac:dyDescent="0.15">
      <c r="A15" s="47" t="s">
        <v>19</v>
      </c>
      <c r="B15" s="48">
        <v>28</v>
      </c>
    </row>
    <row r="16" spans="1:2" x14ac:dyDescent="0.15">
      <c r="A16" s="47" t="s">
        <v>21</v>
      </c>
      <c r="B16" s="48">
        <v>29.1</v>
      </c>
    </row>
    <row r="17" spans="1:2" x14ac:dyDescent="0.15">
      <c r="A17" s="47" t="s">
        <v>20</v>
      </c>
      <c r="B17" s="48">
        <v>28.5</v>
      </c>
    </row>
    <row r="18" spans="1:2" x14ac:dyDescent="0.15">
      <c r="A18" s="47" t="s">
        <v>9</v>
      </c>
      <c r="B18" s="48">
        <v>6.6</v>
      </c>
    </row>
    <row r="19" spans="1:2" x14ac:dyDescent="0.15">
      <c r="A19" s="47" t="s">
        <v>33</v>
      </c>
      <c r="B19" s="48">
        <v>41.5</v>
      </c>
    </row>
    <row r="20" spans="1:2" x14ac:dyDescent="0.15">
      <c r="A20" s="47" t="s">
        <v>22</v>
      </c>
      <c r="B20" s="48">
        <v>30.7</v>
      </c>
    </row>
    <row r="21" spans="1:2" x14ac:dyDescent="0.15">
      <c r="A21" s="47" t="s">
        <v>35</v>
      </c>
      <c r="B21" s="48">
        <v>44.5</v>
      </c>
    </row>
    <row r="22" spans="1:2" x14ac:dyDescent="0.15">
      <c r="A22" s="47" t="s">
        <v>36</v>
      </c>
      <c r="B22" s="48">
        <v>47.3</v>
      </c>
    </row>
    <row r="23" spans="1:2" x14ac:dyDescent="0.15">
      <c r="A23" s="47" t="s">
        <v>32</v>
      </c>
      <c r="B23" s="48">
        <v>-1</v>
      </c>
    </row>
    <row r="24" spans="1:2" x14ac:dyDescent="0.15">
      <c r="A24" s="47" t="s">
        <v>24</v>
      </c>
      <c r="B24" s="48">
        <v>34.700000000000003</v>
      </c>
    </row>
    <row r="25" spans="1:2" x14ac:dyDescent="0.15">
      <c r="A25" s="47" t="s">
        <v>31</v>
      </c>
      <c r="B25" s="48">
        <v>45</v>
      </c>
    </row>
    <row r="26" spans="1:2" x14ac:dyDescent="0.15">
      <c r="A26" s="47" t="s">
        <v>10</v>
      </c>
      <c r="B26" s="48">
        <v>7.1</v>
      </c>
    </row>
    <row r="27" spans="1:2" x14ac:dyDescent="0.15">
      <c r="A27" s="47" t="s">
        <v>27</v>
      </c>
      <c r="B27" s="48">
        <v>40.1</v>
      </c>
    </row>
    <row r="28" spans="1:2" x14ac:dyDescent="0.15">
      <c r="A28" s="47" t="s">
        <v>8</v>
      </c>
      <c r="B28" s="48">
        <v>4.9000000000000004</v>
      </c>
    </row>
    <row r="29" spans="1:2" x14ac:dyDescent="0.15">
      <c r="A29" s="47" t="s">
        <v>37</v>
      </c>
      <c r="B29" s="48">
        <v>49.1</v>
      </c>
    </row>
    <row r="30" spans="1:2" x14ac:dyDescent="0.15">
      <c r="A30" s="47" t="s">
        <v>34</v>
      </c>
      <c r="B30" s="48">
        <v>43.3</v>
      </c>
    </row>
    <row r="31" spans="1:2" x14ac:dyDescent="0.15">
      <c r="A31" s="47" t="s">
        <v>23</v>
      </c>
      <c r="B31" s="48">
        <v>33.799999999999997</v>
      </c>
    </row>
    <row r="32" spans="1:2" x14ac:dyDescent="0.15">
      <c r="A32" s="47" t="s">
        <v>41</v>
      </c>
      <c r="B32" s="48">
        <v>38</v>
      </c>
    </row>
    <row r="33" spans="1:2" x14ac:dyDescent="0.15">
      <c r="A33" s="47" t="s">
        <v>42</v>
      </c>
      <c r="B33" s="48">
        <v>48.3</v>
      </c>
    </row>
    <row r="34" spans="1:2" x14ac:dyDescent="0.15">
      <c r="A34" s="47" t="s">
        <v>12</v>
      </c>
      <c r="B34" s="48">
        <v>11.6</v>
      </c>
    </row>
    <row r="35" spans="1:2" x14ac:dyDescent="0.15">
      <c r="A35" s="47" t="s">
        <v>58</v>
      </c>
      <c r="B35" s="48">
        <v>-1</v>
      </c>
    </row>
    <row r="36" spans="1:2" x14ac:dyDescent="0.15">
      <c r="A36" s="47" t="s">
        <v>26</v>
      </c>
      <c r="B36" s="48">
        <v>38.700000000000003</v>
      </c>
    </row>
    <row r="37" spans="1:2" x14ac:dyDescent="0.15">
      <c r="A37" s="47" t="s">
        <v>57</v>
      </c>
      <c r="B37" s="48">
        <v>41.3</v>
      </c>
    </row>
    <row r="38" spans="1:2" x14ac:dyDescent="0.15">
      <c r="A38" s="47" t="s">
        <v>40</v>
      </c>
      <c r="B38" s="48">
        <v>2.7</v>
      </c>
    </row>
    <row r="39" spans="1:2" x14ac:dyDescent="0.15">
      <c r="A39" s="47" t="s">
        <v>38</v>
      </c>
      <c r="B39" s="48">
        <v>50.6</v>
      </c>
    </row>
    <row r="40" spans="1:2" x14ac:dyDescent="0.15">
      <c r="A40" s="47" t="s">
        <v>29</v>
      </c>
      <c r="B40" s="48">
        <v>42.3</v>
      </c>
    </row>
    <row r="41" spans="1:2" x14ac:dyDescent="0.15">
      <c r="A41" s="47" t="s">
        <v>16</v>
      </c>
      <c r="B41" s="48">
        <v>21.9</v>
      </c>
    </row>
    <row r="42" spans="1:2" x14ac:dyDescent="0.15">
      <c r="A42" s="47" t="s">
        <v>39</v>
      </c>
      <c r="B42" s="48">
        <v>51.8</v>
      </c>
    </row>
    <row r="43" spans="1:2" x14ac:dyDescent="0.15">
      <c r="A43" s="47" t="s">
        <v>140</v>
      </c>
      <c r="B43" s="48"/>
    </row>
    <row r="44" spans="1:2" x14ac:dyDescent="0.15">
      <c r="A44" s="47" t="s">
        <v>141</v>
      </c>
      <c r="B44" s="48">
        <v>-1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4"/>
  <sheetViews>
    <sheetView zoomScaleNormal="100" workbookViewId="0">
      <pane ySplit="1" topLeftCell="A2" activePane="bottomLeft" state="frozen"/>
      <selection pane="bottomLeft" activeCell="W40" activeCellId="14" sqref="G34 N34 R34 T34 W34 G38 N38 R38 T38 W38 G40 N40 R40 T40 W40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27.3984375" style="45" bestFit="1" customWidth="1"/>
    <col min="25" max="16384" width="9" style="1"/>
  </cols>
  <sheetData>
    <row r="1" spans="1:24" s="3" customFormat="1" ht="14.75" customHeight="1" x14ac:dyDescent="0.2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2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4" spans="1:24" x14ac:dyDescent="0.2">
      <c r="C44" s="1">
        <f>SUMIF(H2:H100, "&gt;20")</f>
        <v>1473.0000000000002</v>
      </c>
    </row>
  </sheetData>
  <conditionalFormatting sqref="A1:A1048576">
    <cfRule type="duplicateValues" dxfId="29" priority="4"/>
  </conditionalFormatting>
  <conditionalFormatting sqref="B1:B1048576">
    <cfRule type="duplicateValues" dxfId="28" priority="3"/>
  </conditionalFormatting>
  <conditionalFormatting sqref="A1:XFD1048576">
    <cfRule type="cellIs" dxfId="27" priority="2" operator="equal">
      <formula>-1</formula>
    </cfRule>
  </conditionalFormatting>
  <conditionalFormatting sqref="G1:X40">
    <cfRule type="cellIs" dxfId="26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H40"/>
  <sheetViews>
    <sheetView zoomScaleNormal="100" workbookViewId="0">
      <selection activeCell="D12" sqref="D12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7" width="11" style="1"/>
    <col min="8" max="8" width="12.796875" style="1" bestFit="1" customWidth="1"/>
    <col min="9" max="16384" width="11" style="1"/>
  </cols>
  <sheetData>
    <row r="1" spans="1:8" x14ac:dyDescent="0.2">
      <c r="A1" s="4" t="s">
        <v>47</v>
      </c>
      <c r="B1" s="4" t="s">
        <v>48</v>
      </c>
      <c r="C1" s="4" t="s">
        <v>44</v>
      </c>
      <c r="E1" s="4" t="s">
        <v>138</v>
      </c>
      <c r="H1" s="28" t="s">
        <v>65</v>
      </c>
    </row>
    <row r="2" spans="1:8" x14ac:dyDescent="0.2">
      <c r="A2" s="2"/>
      <c r="B2" s="5" t="s">
        <v>122</v>
      </c>
      <c r="C2" s="2"/>
      <c r="H2" s="1">
        <v>3.6</v>
      </c>
    </row>
    <row r="3" spans="1:8" x14ac:dyDescent="0.2">
      <c r="A3" s="6">
        <v>1</v>
      </c>
      <c r="B3" s="2" t="s">
        <v>107</v>
      </c>
      <c r="C3" s="2" t="s">
        <v>45</v>
      </c>
      <c r="E3" s="1">
        <v>5</v>
      </c>
      <c r="H3" s="1">
        <v>3.6</v>
      </c>
    </row>
    <row r="4" spans="1:8" x14ac:dyDescent="0.2">
      <c r="A4" s="6">
        <v>2</v>
      </c>
      <c r="B4" s="2" t="s">
        <v>46</v>
      </c>
      <c r="C4" s="2"/>
      <c r="E4" s="1">
        <v>5</v>
      </c>
      <c r="H4" s="1">
        <v>5.4</v>
      </c>
    </row>
    <row r="5" spans="1:8" x14ac:dyDescent="0.2">
      <c r="A5" s="6">
        <v>3</v>
      </c>
      <c r="B5" s="2" t="s">
        <v>104</v>
      </c>
      <c r="C5" s="33">
        <f>SUMIF(H2:H100, "&gt;20")</f>
        <v>1473.0000000000002</v>
      </c>
      <c r="E5" s="1">
        <v>10</v>
      </c>
      <c r="H5" s="1">
        <v>6.6</v>
      </c>
    </row>
    <row r="6" spans="1:8" x14ac:dyDescent="0.2">
      <c r="A6" s="6">
        <v>4</v>
      </c>
      <c r="B6" s="2" t="s">
        <v>106</v>
      </c>
      <c r="C6" s="2"/>
      <c r="E6" s="1">
        <v>5</v>
      </c>
      <c r="H6" s="1">
        <v>8.8000000000000007</v>
      </c>
    </row>
    <row r="7" spans="1:8" x14ac:dyDescent="0.2">
      <c r="A7" s="2"/>
      <c r="B7" s="2"/>
      <c r="C7" s="2"/>
      <c r="H7" s="1">
        <v>10.4</v>
      </c>
    </row>
    <row r="8" spans="1:8" x14ac:dyDescent="0.2">
      <c r="H8" s="1">
        <v>13.8</v>
      </c>
    </row>
    <row r="9" spans="1:8" x14ac:dyDescent="0.2">
      <c r="H9" s="1">
        <v>17.3</v>
      </c>
    </row>
    <row r="10" spans="1:8" x14ac:dyDescent="0.2">
      <c r="H10" s="1">
        <v>24.1</v>
      </c>
    </row>
    <row r="11" spans="1:8" x14ac:dyDescent="0.2">
      <c r="H11" s="1">
        <v>27.5</v>
      </c>
    </row>
    <row r="12" spans="1:8" x14ac:dyDescent="0.2">
      <c r="H12" s="1">
        <v>0</v>
      </c>
    </row>
    <row r="13" spans="1:8" x14ac:dyDescent="0.2">
      <c r="E13" s="2"/>
      <c r="H13" s="1">
        <v>32.1</v>
      </c>
    </row>
    <row r="14" spans="1:8" x14ac:dyDescent="0.2">
      <c r="E14" s="2"/>
      <c r="H14" s="1">
        <v>34.700000000000003</v>
      </c>
    </row>
    <row r="15" spans="1:8" x14ac:dyDescent="0.2">
      <c r="H15" s="1">
        <v>39.299999999999997</v>
      </c>
    </row>
    <row r="16" spans="1:8" x14ac:dyDescent="0.2">
      <c r="H16" s="1">
        <v>41</v>
      </c>
    </row>
    <row r="17" spans="8:8" x14ac:dyDescent="0.2">
      <c r="H17" s="1">
        <v>42.3</v>
      </c>
    </row>
    <row r="18" spans="8:8" x14ac:dyDescent="0.2">
      <c r="H18" s="1">
        <v>43.3</v>
      </c>
    </row>
    <row r="19" spans="8:8" x14ac:dyDescent="0.2">
      <c r="H19" s="1">
        <v>45.5</v>
      </c>
    </row>
    <row r="20" spans="8:8" x14ac:dyDescent="0.2">
      <c r="H20" s="1">
        <v>50.1</v>
      </c>
    </row>
    <row r="21" spans="8:8" x14ac:dyDescent="0.2">
      <c r="H21" s="1">
        <v>52.3</v>
      </c>
    </row>
    <row r="22" spans="8:8" x14ac:dyDescent="0.2">
      <c r="H22" s="1">
        <v>54.6</v>
      </c>
    </row>
    <row r="23" spans="8:8" x14ac:dyDescent="0.2">
      <c r="H23" s="1">
        <v>57.2</v>
      </c>
    </row>
    <row r="24" spans="8:8" x14ac:dyDescent="0.2">
      <c r="H24" s="1">
        <v>59.2</v>
      </c>
    </row>
    <row r="25" spans="8:8" x14ac:dyDescent="0.2">
      <c r="H25" s="1">
        <v>59.2</v>
      </c>
    </row>
    <row r="26" spans="8:8" x14ac:dyDescent="0.2">
      <c r="H26" s="1">
        <v>0</v>
      </c>
    </row>
    <row r="27" spans="8:8" x14ac:dyDescent="0.2">
      <c r="H27" s="1">
        <v>61.4</v>
      </c>
    </row>
    <row r="28" spans="8:8" x14ac:dyDescent="0.2">
      <c r="H28" s="1">
        <v>61.4</v>
      </c>
    </row>
    <row r="29" spans="8:8" x14ac:dyDescent="0.2">
      <c r="H29" s="1">
        <v>63.6</v>
      </c>
    </row>
    <row r="30" spans="8:8" x14ac:dyDescent="0.2">
      <c r="H30" s="1">
        <v>-1</v>
      </c>
    </row>
    <row r="31" spans="8:8" x14ac:dyDescent="0.2">
      <c r="H31" s="1">
        <v>65.900000000000006</v>
      </c>
    </row>
    <row r="32" spans="8:8" x14ac:dyDescent="0.2">
      <c r="H32" s="1">
        <v>-1</v>
      </c>
    </row>
    <row r="33" spans="8:8" x14ac:dyDescent="0.2">
      <c r="H33" s="1">
        <v>61.4</v>
      </c>
    </row>
    <row r="34" spans="8:8" x14ac:dyDescent="0.2">
      <c r="H34" s="1">
        <v>63.6</v>
      </c>
    </row>
    <row r="35" spans="8:8" x14ac:dyDescent="0.2">
      <c r="H35" s="1">
        <v>65.900000000000006</v>
      </c>
    </row>
    <row r="36" spans="8:8" x14ac:dyDescent="0.2">
      <c r="H36" s="1">
        <v>70.400000000000006</v>
      </c>
    </row>
    <row r="37" spans="8:8" x14ac:dyDescent="0.2">
      <c r="H37" s="1">
        <v>72</v>
      </c>
    </row>
    <row r="38" spans="8:8" x14ac:dyDescent="0.2">
      <c r="H38" s="1">
        <v>72.8</v>
      </c>
    </row>
    <row r="39" spans="8:8" x14ac:dyDescent="0.2">
      <c r="H39" s="1">
        <v>75</v>
      </c>
    </row>
    <row r="40" spans="8:8" x14ac:dyDescent="0.2">
      <c r="H40" s="1">
        <v>77.2</v>
      </c>
    </row>
  </sheetData>
  <conditionalFormatting sqref="H1:H1048576">
    <cfRule type="cellIs" dxfId="25" priority="2" operator="equal">
      <formula>-1</formula>
    </cfRule>
  </conditionalFormatting>
  <conditionalFormatting sqref="H1:H40">
    <cfRule type="cellIs" dxfId="24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K26" sqref="K26"/>
    </sheetView>
  </sheetViews>
  <sheetFormatPr baseColWidth="10" defaultRowHeight="14" x14ac:dyDescent="0.2"/>
  <cols>
    <col min="1" max="1" width="30.59765625" style="2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25">
      <c r="A1" s="41" t="s">
        <v>55</v>
      </c>
      <c r="B1" s="40" t="s">
        <v>126</v>
      </c>
    </row>
    <row r="2" spans="1:7" s="40" customFormat="1" ht="21" x14ac:dyDescent="0.25">
      <c r="B2" s="40" t="s">
        <v>123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7" t="s">
        <v>124</v>
      </c>
      <c r="B4" s="1"/>
      <c r="C4" s="1"/>
      <c r="D4" s="1"/>
      <c r="E4" s="1"/>
      <c r="F4" s="1"/>
      <c r="G4" s="1"/>
    </row>
    <row r="5" spans="1:7" ht="15" x14ac:dyDescent="0.2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">
      <c r="A6" s="50" t="s">
        <v>40</v>
      </c>
      <c r="B6" s="50">
        <v>2.7</v>
      </c>
      <c r="C6" s="50">
        <v>7.6</v>
      </c>
      <c r="D6" s="50">
        <v>4.2</v>
      </c>
      <c r="E6" s="50">
        <v>8.9</v>
      </c>
      <c r="F6" s="50">
        <v>4.2</v>
      </c>
    </row>
    <row r="7" spans="1:7" ht="15" x14ac:dyDescent="0.2">
      <c r="A7" s="50" t="s">
        <v>4</v>
      </c>
      <c r="B7" s="50">
        <v>2.7</v>
      </c>
      <c r="C7" s="50">
        <v>7.6</v>
      </c>
      <c r="D7" s="50">
        <v>4.2</v>
      </c>
      <c r="E7" s="50">
        <v>8.9</v>
      </c>
      <c r="F7" s="50">
        <v>4.2</v>
      </c>
    </row>
    <row r="8" spans="1:7" ht="15" x14ac:dyDescent="0.2">
      <c r="A8" s="50" t="s">
        <v>7</v>
      </c>
      <c r="B8" s="50">
        <v>3.6</v>
      </c>
      <c r="C8" s="50">
        <v>11.1</v>
      </c>
      <c r="D8" s="50">
        <v>5.8</v>
      </c>
      <c r="E8" s="50">
        <v>12.2</v>
      </c>
      <c r="F8" s="50">
        <v>5.8</v>
      </c>
    </row>
    <row r="9" spans="1:7" ht="15" x14ac:dyDescent="0.2">
      <c r="A9" s="50" t="s">
        <v>8</v>
      </c>
      <c r="B9" s="50">
        <v>4.9000000000000004</v>
      </c>
      <c r="C9" s="50">
        <v>13.3</v>
      </c>
      <c r="D9" s="50">
        <v>8.1</v>
      </c>
      <c r="E9" s="50">
        <v>17</v>
      </c>
      <c r="F9" s="50">
        <v>8.1</v>
      </c>
    </row>
    <row r="10" spans="1:7" ht="15" x14ac:dyDescent="0.2">
      <c r="A10" s="50" t="s">
        <v>11</v>
      </c>
      <c r="B10" s="50">
        <v>9.4</v>
      </c>
      <c r="C10" s="50">
        <v>28.3</v>
      </c>
      <c r="D10" s="50">
        <v>16.100000000000001</v>
      </c>
      <c r="E10" s="50">
        <v>32.799999999999997</v>
      </c>
      <c r="F10" s="50">
        <v>16.100000000000001</v>
      </c>
    </row>
    <row r="11" spans="1:7" ht="15" x14ac:dyDescent="0.2">
      <c r="A11" s="50" t="s">
        <v>12</v>
      </c>
      <c r="B11" s="50">
        <v>11.6</v>
      </c>
      <c r="C11" s="50">
        <v>35.200000000000003</v>
      </c>
      <c r="D11" s="50">
        <v>21.3</v>
      </c>
      <c r="E11" s="50">
        <v>43</v>
      </c>
      <c r="F11" s="50">
        <v>21.3</v>
      </c>
    </row>
    <row r="12" spans="1:7" ht="15" x14ac:dyDescent="0.2">
      <c r="A12" s="50" t="s">
        <v>14</v>
      </c>
      <c r="B12" s="50">
        <v>16.100000000000001</v>
      </c>
      <c r="C12" s="50">
        <v>49</v>
      </c>
      <c r="D12" s="50">
        <v>29.1</v>
      </c>
      <c r="E12" s="50">
        <v>59</v>
      </c>
      <c r="F12" s="50">
        <v>29.1</v>
      </c>
    </row>
    <row r="13" spans="1:7" ht="15" x14ac:dyDescent="0.2">
      <c r="A13" s="50" t="s">
        <v>15</v>
      </c>
      <c r="B13" s="50">
        <v>18.399999999999999</v>
      </c>
      <c r="C13" s="50">
        <v>55.6</v>
      </c>
      <c r="D13" s="50">
        <v>33.799999999999997</v>
      </c>
      <c r="E13" s="50">
        <v>67.900000000000006</v>
      </c>
      <c r="F13" s="50">
        <v>33.799999999999997</v>
      </c>
    </row>
    <row r="14" spans="1:7" ht="15" x14ac:dyDescent="0.2">
      <c r="A14" s="50" t="s">
        <v>16</v>
      </c>
      <c r="B14" s="50">
        <v>0</v>
      </c>
      <c r="C14" s="50">
        <v>0</v>
      </c>
      <c r="D14" s="50">
        <v>0</v>
      </c>
      <c r="E14" s="50">
        <v>0</v>
      </c>
      <c r="F14" s="50">
        <v>0</v>
      </c>
    </row>
    <row r="15" spans="1:7" ht="15" x14ac:dyDescent="0.2">
      <c r="A15" s="50" t="s">
        <v>18</v>
      </c>
      <c r="B15" s="50">
        <v>21.9</v>
      </c>
      <c r="C15" s="50">
        <v>61.5</v>
      </c>
      <c r="D15" s="50">
        <v>40.1</v>
      </c>
      <c r="E15" s="50">
        <v>76.599999999999994</v>
      </c>
      <c r="F15" s="50">
        <v>40.1</v>
      </c>
    </row>
    <row r="16" spans="1:7" ht="15" x14ac:dyDescent="0.2">
      <c r="A16" s="50" t="s">
        <v>20</v>
      </c>
      <c r="B16" s="50">
        <v>28.5</v>
      </c>
      <c r="C16" s="50">
        <v>85.4</v>
      </c>
      <c r="D16" s="50">
        <v>52.3</v>
      </c>
      <c r="E16" s="50">
        <v>106.1</v>
      </c>
      <c r="F16" s="50">
        <v>52.3</v>
      </c>
    </row>
    <row r="17" spans="1:6" ht="15" x14ac:dyDescent="0.2">
      <c r="A17" s="50" t="s">
        <v>22</v>
      </c>
      <c r="B17" s="50">
        <v>30.7</v>
      </c>
      <c r="C17" s="50">
        <v>92.1</v>
      </c>
      <c r="D17" s="50">
        <v>57</v>
      </c>
      <c r="E17" s="50">
        <v>115.1</v>
      </c>
      <c r="F17" s="50">
        <v>57</v>
      </c>
    </row>
    <row r="18" spans="1:6" ht="15" x14ac:dyDescent="0.2">
      <c r="A18" s="50" t="s">
        <v>23</v>
      </c>
      <c r="B18" s="50">
        <v>33.799999999999997</v>
      </c>
      <c r="C18" s="50">
        <v>101.3</v>
      </c>
      <c r="D18" s="50">
        <v>61.4</v>
      </c>
      <c r="E18" s="50">
        <v>124.4</v>
      </c>
      <c r="F18" s="50">
        <v>61.4</v>
      </c>
    </row>
    <row r="19" spans="1:6" ht="15" x14ac:dyDescent="0.2">
      <c r="A19" s="50" t="s">
        <v>24</v>
      </c>
      <c r="B19" s="50">
        <v>34.700000000000003</v>
      </c>
      <c r="C19" s="50">
        <v>106.1</v>
      </c>
      <c r="D19" s="50">
        <v>63.6</v>
      </c>
      <c r="E19" s="50">
        <v>128.6</v>
      </c>
      <c r="F19" s="50">
        <v>63.6</v>
      </c>
    </row>
    <row r="20" spans="1:6" ht="15" x14ac:dyDescent="0.2">
      <c r="A20" s="50" t="s">
        <v>28</v>
      </c>
      <c r="B20" s="50">
        <v>0</v>
      </c>
      <c r="C20" s="50">
        <v>0</v>
      </c>
      <c r="D20" s="50">
        <v>0</v>
      </c>
      <c r="E20" s="50">
        <v>0</v>
      </c>
      <c r="F20" s="50">
        <v>0</v>
      </c>
    </row>
    <row r="21" spans="1:6" ht="15" x14ac:dyDescent="0.2">
      <c r="A21" s="50" t="s">
        <v>57</v>
      </c>
      <c r="B21" s="50">
        <v>41.3</v>
      </c>
      <c r="C21" s="50">
        <v>124.4</v>
      </c>
      <c r="D21" s="50">
        <v>75</v>
      </c>
      <c r="E21" s="50">
        <v>151.5</v>
      </c>
      <c r="F21" s="50">
        <v>75</v>
      </c>
    </row>
    <row r="22" spans="1:6" ht="15" x14ac:dyDescent="0.2">
      <c r="A22" s="50" t="s">
        <v>58</v>
      </c>
      <c r="B22" s="50">
        <v>-1</v>
      </c>
      <c r="C22" s="50">
        <v>-1</v>
      </c>
      <c r="D22" s="50">
        <v>-1</v>
      </c>
      <c r="E22" s="50">
        <v>-1</v>
      </c>
      <c r="F22" s="50">
        <v>-1</v>
      </c>
    </row>
    <row r="23" spans="1:6" ht="15" x14ac:dyDescent="0.2">
      <c r="A23" s="50" t="s">
        <v>31</v>
      </c>
      <c r="B23" s="50">
        <v>45</v>
      </c>
      <c r="C23" s="50">
        <v>133.4</v>
      </c>
      <c r="D23" s="50">
        <v>79.400000000000006</v>
      </c>
      <c r="E23" s="50">
        <v>160.9</v>
      </c>
      <c r="F23" s="50">
        <v>79.400000000000006</v>
      </c>
    </row>
    <row r="24" spans="1:6" ht="15" x14ac:dyDescent="0.2">
      <c r="A24" s="50" t="s">
        <v>32</v>
      </c>
      <c r="B24" s="50">
        <v>-1</v>
      </c>
      <c r="C24" s="50">
        <v>-1</v>
      </c>
      <c r="D24" s="50">
        <v>-1</v>
      </c>
      <c r="E24" s="50">
        <v>-1</v>
      </c>
      <c r="F24" s="50">
        <v>-1</v>
      </c>
    </row>
    <row r="25" spans="1:6" ht="15" x14ac:dyDescent="0.2">
      <c r="A25" s="50" t="s">
        <v>34</v>
      </c>
      <c r="B25" s="50">
        <v>43.3</v>
      </c>
      <c r="C25" s="50">
        <v>128.6</v>
      </c>
      <c r="D25" s="50">
        <v>79.400000000000006</v>
      </c>
      <c r="E25" s="50">
        <v>160.9</v>
      </c>
      <c r="F25" s="50">
        <v>79.400000000000006</v>
      </c>
    </row>
    <row r="26" spans="1:6" ht="15" x14ac:dyDescent="0.2">
      <c r="A26" s="50" t="s">
        <v>37</v>
      </c>
      <c r="B26" s="50">
        <v>49.1</v>
      </c>
      <c r="C26" s="50">
        <v>146.80000000000001</v>
      </c>
      <c r="D26" s="50">
        <v>90.9</v>
      </c>
      <c r="E26" s="50">
        <v>183.5</v>
      </c>
      <c r="F26" s="50">
        <v>90.9</v>
      </c>
    </row>
    <row r="27" spans="1:6" ht="15" x14ac:dyDescent="0.2">
      <c r="A27" s="50" t="s">
        <v>39</v>
      </c>
      <c r="B27" s="50">
        <v>51.8</v>
      </c>
      <c r="C27" s="50">
        <v>156.4</v>
      </c>
      <c r="D27" s="50">
        <v>93.1</v>
      </c>
      <c r="E27" s="50">
        <v>188.1</v>
      </c>
      <c r="F27" s="50">
        <v>93.1</v>
      </c>
    </row>
    <row r="28" spans="1:6" ht="15" x14ac:dyDescent="0.2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>MIN(F6:F27)</f>
        <v>-1</v>
      </c>
    </row>
    <row r="29" spans="1:6" ht="15" x14ac:dyDescent="0.2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>MAX(E6:E27)</f>
        <v>188.1</v>
      </c>
      <c r="F29" s="30">
        <f>MAX(F6:F27)</f>
        <v>93.1</v>
      </c>
    </row>
    <row r="30" spans="1:6" ht="15" x14ac:dyDescent="0.2">
      <c r="A30" s="18" t="s">
        <v>84</v>
      </c>
      <c r="B30" s="51">
        <f>AVERAGE(B6:B27)</f>
        <v>20.340909090909093</v>
      </c>
      <c r="C30" s="51">
        <f t="shared" ref="C30:E30" si="2">AVERAGE(C6:C27)</f>
        <v>60.986363636363642</v>
      </c>
      <c r="D30" s="51">
        <f t="shared" si="2"/>
        <v>36.945454545454545</v>
      </c>
      <c r="E30" s="51">
        <f t="shared" si="2"/>
        <v>74.7</v>
      </c>
      <c r="F30" s="51">
        <f>AVERAGE(F6:F27)</f>
        <v>36.945454545454545</v>
      </c>
    </row>
  </sheetData>
  <conditionalFormatting sqref="B6:F6">
    <cfRule type="cellIs" dxfId="23" priority="22" operator="equal">
      <formula>-1</formula>
    </cfRule>
  </conditionalFormatting>
  <conditionalFormatting sqref="B6:F6">
    <cfRule type="cellIs" dxfId="22" priority="21" operator="equal">
      <formula>0</formula>
    </cfRule>
  </conditionalFormatting>
  <conditionalFormatting sqref="B7:F7">
    <cfRule type="cellIs" dxfId="21" priority="20" operator="equal">
      <formula>-1</formula>
    </cfRule>
  </conditionalFormatting>
  <conditionalFormatting sqref="B7:F7">
    <cfRule type="cellIs" dxfId="20" priority="19" operator="equal">
      <formula>0</formula>
    </cfRule>
  </conditionalFormatting>
  <conditionalFormatting sqref="B9:F9 B8:F8">
    <cfRule type="cellIs" dxfId="19" priority="18" operator="equal">
      <formula>-1</formula>
    </cfRule>
  </conditionalFormatting>
  <conditionalFormatting sqref="B9:F9 B8:F8">
    <cfRule type="cellIs" dxfId="18" priority="17" operator="equal">
      <formula>0</formula>
    </cfRule>
  </conditionalFormatting>
  <conditionalFormatting sqref="B11:F11 B10:F10">
    <cfRule type="cellIs" dxfId="17" priority="16" operator="equal">
      <formula>-1</formula>
    </cfRule>
  </conditionalFormatting>
  <conditionalFormatting sqref="B11:F11 B10:F10">
    <cfRule type="cellIs" dxfId="16" priority="15" operator="equal">
      <formula>0</formula>
    </cfRule>
  </conditionalFormatting>
  <conditionalFormatting sqref="B12:F12">
    <cfRule type="cellIs" dxfId="15" priority="14" operator="equal">
      <formula>-1</formula>
    </cfRule>
  </conditionalFormatting>
  <conditionalFormatting sqref="B12:F12">
    <cfRule type="cellIs" dxfId="14" priority="13" operator="equal">
      <formula>0</formula>
    </cfRule>
  </conditionalFormatting>
  <conditionalFormatting sqref="B13:F15">
    <cfRule type="cellIs" dxfId="11" priority="12" operator="equal">
      <formula>-1</formula>
    </cfRule>
  </conditionalFormatting>
  <conditionalFormatting sqref="B13:F15">
    <cfRule type="cellIs" dxfId="10" priority="11" operator="equal">
      <formula>0</formula>
    </cfRule>
  </conditionalFormatting>
  <conditionalFormatting sqref="B17:F17 B16:F16">
    <cfRule type="cellIs" dxfId="9" priority="10" operator="equal">
      <formula>-1</formula>
    </cfRule>
  </conditionalFormatting>
  <conditionalFormatting sqref="B17:F17 B16:F16">
    <cfRule type="cellIs" dxfId="8" priority="9" operator="equal">
      <formula>0</formula>
    </cfRule>
  </conditionalFormatting>
  <conditionalFormatting sqref="B20:F20 B18:F19">
    <cfRule type="cellIs" dxfId="7" priority="8" operator="equal">
      <formula>-1</formula>
    </cfRule>
  </conditionalFormatting>
  <conditionalFormatting sqref="B20:F20 B18:F19">
    <cfRule type="cellIs" dxfId="6" priority="7" operator="equal">
      <formula>0</formula>
    </cfRule>
  </conditionalFormatting>
  <conditionalFormatting sqref="B22:F22 B21:F21">
    <cfRule type="cellIs" dxfId="5" priority="6" operator="equal">
      <formula>-1</formula>
    </cfRule>
  </conditionalFormatting>
  <conditionalFormatting sqref="B22:F22 B21:F21">
    <cfRule type="cellIs" dxfId="4" priority="5" operator="equal">
      <formula>0</formula>
    </cfRule>
  </conditionalFormatting>
  <conditionalFormatting sqref="B23:F24">
    <cfRule type="cellIs" dxfId="3" priority="4" operator="equal">
      <formula>-1</formula>
    </cfRule>
  </conditionalFormatting>
  <conditionalFormatting sqref="B23:F24">
    <cfRule type="cellIs" dxfId="2" priority="3" operator="equal">
      <formula>0</formula>
    </cfRule>
  </conditionalFormatting>
  <conditionalFormatting sqref="B27:F27 B25:F26">
    <cfRule type="cellIs" dxfId="1" priority="2" operator="equal">
      <formula>-1</formula>
    </cfRule>
  </conditionalFormatting>
  <conditionalFormatting sqref="B27:F27 B25:F26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14" sqref="I14"/>
    </sheetView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40" customFormat="1" ht="21" x14ac:dyDescent="0.25">
      <c r="A1" s="41" t="s">
        <v>56</v>
      </c>
      <c r="B1" s="40" t="s">
        <v>136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113</v>
      </c>
    </row>
    <row r="5" spans="1:10" ht="19" x14ac:dyDescent="0.25">
      <c r="A5" s="42" t="s">
        <v>53</v>
      </c>
      <c r="B5" s="39"/>
    </row>
    <row r="6" spans="1:10" ht="19" x14ac:dyDescent="0.25">
      <c r="A6" s="42" t="s">
        <v>115</v>
      </c>
      <c r="B6" s="39" t="s">
        <v>143</v>
      </c>
    </row>
    <row r="7" spans="1:10" ht="19" x14ac:dyDescent="0.25">
      <c r="A7" s="42"/>
      <c r="B7" s="39"/>
    </row>
    <row r="9" spans="1:10" ht="24" x14ac:dyDescent="0.3">
      <c r="A9" s="17" t="s">
        <v>127</v>
      </c>
      <c r="I9" s="2"/>
      <c r="J9" s="2"/>
    </row>
    <row r="10" spans="1:10" x14ac:dyDescent="0.2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">
      <c r="A11" s="8" t="s">
        <v>112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4" x14ac:dyDescent="0.3">
      <c r="A14" s="17" t="s">
        <v>124</v>
      </c>
    </row>
    <row r="15" spans="1:10" x14ac:dyDescent="0.2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">
      <c r="A16" s="7">
        <v>20000</v>
      </c>
      <c r="B16" s="11" t="s">
        <v>5</v>
      </c>
      <c r="C16" s="1">
        <v>0</v>
      </c>
      <c r="D16" s="11" t="s">
        <v>6</v>
      </c>
      <c r="E16" s="1">
        <v>24</v>
      </c>
      <c r="F16" s="11"/>
    </row>
    <row r="17" spans="1:6" x14ac:dyDescent="0.2">
      <c r="A17" s="7">
        <v>20002</v>
      </c>
      <c r="B17" s="11" t="s">
        <v>5</v>
      </c>
      <c r="C17" s="1">
        <v>0</v>
      </c>
      <c r="D17" s="11" t="s">
        <v>6</v>
      </c>
      <c r="E17" s="1">
        <v>24</v>
      </c>
      <c r="F17" s="11"/>
    </row>
    <row r="18" spans="1:6" x14ac:dyDescent="0.2">
      <c r="A18" s="7">
        <v>20004</v>
      </c>
      <c r="B18" s="11" t="s">
        <v>5</v>
      </c>
      <c r="C18" s="1">
        <v>0</v>
      </c>
      <c r="D18" s="11" t="s">
        <v>6</v>
      </c>
      <c r="E18" s="1">
        <v>24</v>
      </c>
      <c r="F18" s="11"/>
    </row>
    <row r="19" spans="1:6" x14ac:dyDescent="0.2">
      <c r="A19" s="7">
        <v>20006</v>
      </c>
      <c r="B19" s="11" t="s">
        <v>5</v>
      </c>
      <c r="C19" s="1">
        <v>0</v>
      </c>
      <c r="D19" s="11" t="s">
        <v>6</v>
      </c>
      <c r="E19" s="1">
        <v>24</v>
      </c>
      <c r="F19" s="11"/>
    </row>
    <row r="20" spans="1:6" x14ac:dyDescent="0.2">
      <c r="A20" s="7">
        <v>20008</v>
      </c>
      <c r="B20" s="11" t="s">
        <v>5</v>
      </c>
      <c r="C20" s="1">
        <v>0</v>
      </c>
      <c r="D20" s="11" t="s">
        <v>6</v>
      </c>
      <c r="E20" s="1">
        <v>24</v>
      </c>
      <c r="F20" s="11"/>
    </row>
    <row r="21" spans="1:6" x14ac:dyDescent="0.2">
      <c r="A21" s="7">
        <v>20010</v>
      </c>
      <c r="B21" s="11" t="s">
        <v>5</v>
      </c>
      <c r="C21" s="1">
        <v>0</v>
      </c>
      <c r="D21" s="11" t="s">
        <v>6</v>
      </c>
      <c r="E21" s="1">
        <v>24</v>
      </c>
      <c r="F21" s="11"/>
    </row>
    <row r="22" spans="1:6" x14ac:dyDescent="0.2">
      <c r="A22" s="7">
        <v>20012</v>
      </c>
      <c r="B22" s="11" t="s">
        <v>5</v>
      </c>
      <c r="C22" s="1">
        <v>0</v>
      </c>
      <c r="D22" s="11" t="s">
        <v>6</v>
      </c>
      <c r="E22" s="1">
        <v>24</v>
      </c>
      <c r="F22" s="11"/>
    </row>
    <row r="23" spans="1:6" x14ac:dyDescent="0.2">
      <c r="A23" s="7">
        <v>20014</v>
      </c>
      <c r="B23" s="11" t="s">
        <v>5</v>
      </c>
      <c r="C23" s="1">
        <v>0</v>
      </c>
      <c r="D23" s="11" t="s">
        <v>6</v>
      </c>
      <c r="E23" s="1">
        <v>24</v>
      </c>
      <c r="F23" s="11"/>
    </row>
    <row r="24" spans="1:6" x14ac:dyDescent="0.2">
      <c r="A24" s="7">
        <v>20016</v>
      </c>
      <c r="B24" s="11" t="s">
        <v>5</v>
      </c>
      <c r="C24" s="1">
        <v>0</v>
      </c>
      <c r="D24" s="11" t="s">
        <v>6</v>
      </c>
      <c r="E24" s="1">
        <v>24</v>
      </c>
      <c r="F24" s="11"/>
    </row>
    <row r="25" spans="1:6" x14ac:dyDescent="0.2">
      <c r="A25" s="7">
        <v>20018</v>
      </c>
      <c r="B25" s="11" t="s">
        <v>5</v>
      </c>
      <c r="C25" s="1">
        <v>0</v>
      </c>
      <c r="D25" s="11" t="s">
        <v>6</v>
      </c>
      <c r="E25" s="1">
        <v>24</v>
      </c>
      <c r="F25" s="11"/>
    </row>
    <row r="26" spans="1:6" x14ac:dyDescent="0.2">
      <c r="A26" s="7">
        <v>20020</v>
      </c>
      <c r="B26" s="11" t="s">
        <v>5</v>
      </c>
      <c r="C26" s="1">
        <v>0</v>
      </c>
      <c r="D26" s="11" t="s">
        <v>6</v>
      </c>
      <c r="E26" s="1">
        <v>24</v>
      </c>
      <c r="F26" s="11"/>
    </row>
    <row r="27" spans="1:6" x14ac:dyDescent="0.2">
      <c r="A27" s="7">
        <v>20022</v>
      </c>
      <c r="B27" s="11" t="s">
        <v>5</v>
      </c>
      <c r="C27" s="1">
        <v>0</v>
      </c>
      <c r="D27" s="11" t="s">
        <v>6</v>
      </c>
      <c r="E27" s="1">
        <v>24</v>
      </c>
      <c r="F27" s="11"/>
    </row>
    <row r="28" spans="1:6" x14ac:dyDescent="0.2">
      <c r="A28" s="7">
        <v>20024</v>
      </c>
      <c r="B28" s="11" t="s">
        <v>5</v>
      </c>
      <c r="C28" s="1">
        <v>0</v>
      </c>
      <c r="D28" s="11" t="s">
        <v>6</v>
      </c>
      <c r="E28" s="1">
        <v>24</v>
      </c>
      <c r="F28" s="11"/>
    </row>
    <row r="29" spans="1:6" x14ac:dyDescent="0.2">
      <c r="A29" s="7">
        <v>20026</v>
      </c>
      <c r="B29" s="11" t="s">
        <v>5</v>
      </c>
      <c r="C29" s="1">
        <v>0</v>
      </c>
      <c r="D29" s="11" t="s">
        <v>6</v>
      </c>
      <c r="E29" s="1">
        <v>24</v>
      </c>
      <c r="F29" s="11"/>
    </row>
    <row r="30" spans="1:6" x14ac:dyDescent="0.2">
      <c r="A30" s="7">
        <v>20028</v>
      </c>
      <c r="B30" s="11" t="s">
        <v>5</v>
      </c>
      <c r="C30" s="1">
        <v>0</v>
      </c>
      <c r="D30" s="11" t="s">
        <v>6</v>
      </c>
      <c r="E30" s="1">
        <v>24</v>
      </c>
      <c r="F30" s="11"/>
    </row>
    <row r="31" spans="1:6" x14ac:dyDescent="0.2">
      <c r="A31" s="7">
        <v>20030</v>
      </c>
      <c r="B31" s="11" t="s">
        <v>5</v>
      </c>
      <c r="C31" s="1">
        <v>0</v>
      </c>
      <c r="D31" s="11" t="s">
        <v>6</v>
      </c>
      <c r="E31" s="1">
        <v>24</v>
      </c>
      <c r="F31" s="11"/>
    </row>
    <row r="32" spans="1:6" x14ac:dyDescent="0.2">
      <c r="A32" s="7">
        <v>20032</v>
      </c>
      <c r="B32" s="11" t="s">
        <v>5</v>
      </c>
      <c r="C32" s="1">
        <v>0</v>
      </c>
      <c r="D32" s="11" t="s">
        <v>6</v>
      </c>
      <c r="E32" s="1">
        <v>24</v>
      </c>
      <c r="F32" s="11"/>
    </row>
    <row r="33" spans="1:6" x14ac:dyDescent="0.2">
      <c r="A33" s="7">
        <v>20034</v>
      </c>
      <c r="B33" s="11" t="s">
        <v>5</v>
      </c>
      <c r="C33" s="1">
        <v>0</v>
      </c>
      <c r="D33" s="11" t="s">
        <v>6</v>
      </c>
      <c r="E33" s="1">
        <v>24</v>
      </c>
      <c r="F33" s="11"/>
    </row>
    <row r="34" spans="1:6" x14ac:dyDescent="0.2">
      <c r="A34" s="7">
        <v>20036</v>
      </c>
      <c r="B34" s="11" t="s">
        <v>5</v>
      </c>
      <c r="C34" s="1">
        <v>0</v>
      </c>
      <c r="D34" s="11" t="s">
        <v>6</v>
      </c>
      <c r="E34" s="1">
        <v>24</v>
      </c>
      <c r="F34" s="11"/>
    </row>
    <row r="35" spans="1:6" x14ac:dyDescent="0.2">
      <c r="A35" s="7">
        <v>20038</v>
      </c>
      <c r="B35" s="11" t="s">
        <v>5</v>
      </c>
      <c r="C35" s="1">
        <v>0</v>
      </c>
      <c r="D35" s="11" t="s">
        <v>6</v>
      </c>
      <c r="E35" s="1">
        <v>24</v>
      </c>
      <c r="F35" s="11"/>
    </row>
    <row r="36" spans="1:6" x14ac:dyDescent="0.2">
      <c r="A36" s="7">
        <v>20040</v>
      </c>
      <c r="B36" s="11" t="s">
        <v>5</v>
      </c>
      <c r="C36" s="1">
        <v>0</v>
      </c>
      <c r="D36" s="11" t="s">
        <v>6</v>
      </c>
      <c r="E36" s="1">
        <v>24</v>
      </c>
      <c r="F36" s="11"/>
    </row>
    <row r="37" spans="1:6" x14ac:dyDescent="0.2">
      <c r="A37" s="7">
        <v>20042</v>
      </c>
      <c r="B37" s="11" t="s">
        <v>5</v>
      </c>
      <c r="C37" s="1">
        <v>0</v>
      </c>
      <c r="D37" s="11" t="s">
        <v>6</v>
      </c>
      <c r="E37" s="1">
        <v>24</v>
      </c>
      <c r="F37" s="11"/>
    </row>
    <row r="38" spans="1:6" x14ac:dyDescent="0.2">
      <c r="A38" s="7">
        <v>20044</v>
      </c>
      <c r="B38" s="11" t="s">
        <v>5</v>
      </c>
      <c r="C38" s="1">
        <v>0</v>
      </c>
      <c r="D38" s="11" t="s">
        <v>6</v>
      </c>
      <c r="E38" s="1">
        <v>24</v>
      </c>
      <c r="F38" s="11"/>
    </row>
    <row r="39" spans="1:6" x14ac:dyDescent="0.2">
      <c r="A39" s="7">
        <v>20046</v>
      </c>
      <c r="B39" s="11" t="s">
        <v>5</v>
      </c>
      <c r="C39" s="1">
        <v>0</v>
      </c>
      <c r="D39" s="11" t="s">
        <v>6</v>
      </c>
      <c r="E39" s="1">
        <v>24</v>
      </c>
      <c r="F39" s="11"/>
    </row>
    <row r="40" spans="1:6" x14ac:dyDescent="0.2">
      <c r="A40" s="7">
        <v>20048</v>
      </c>
      <c r="B40" s="11" t="s">
        <v>5</v>
      </c>
      <c r="C40" s="1">
        <v>0</v>
      </c>
      <c r="D40" s="11" t="s">
        <v>6</v>
      </c>
      <c r="E40" s="1">
        <v>24</v>
      </c>
      <c r="F40" s="11"/>
    </row>
    <row r="41" spans="1:6" x14ac:dyDescent="0.2">
      <c r="A41" s="7">
        <v>20050</v>
      </c>
      <c r="B41" s="11" t="s">
        <v>5</v>
      </c>
      <c r="C41" s="1">
        <v>0</v>
      </c>
      <c r="D41" s="11" t="s">
        <v>6</v>
      </c>
      <c r="E41" s="1">
        <v>24</v>
      </c>
      <c r="F41" s="11"/>
    </row>
    <row r="42" spans="1:6" x14ac:dyDescent="0.2">
      <c r="A42" s="7">
        <v>20052</v>
      </c>
      <c r="B42" s="11" t="s">
        <v>5</v>
      </c>
      <c r="C42" s="1">
        <v>0</v>
      </c>
      <c r="D42" s="11" t="s">
        <v>6</v>
      </c>
      <c r="E42" s="1">
        <v>24</v>
      </c>
      <c r="F42" s="11"/>
    </row>
    <row r="43" spans="1:6" x14ac:dyDescent="0.2">
      <c r="A43" s="7">
        <v>20054</v>
      </c>
      <c r="B43" s="11" t="s">
        <v>5</v>
      </c>
      <c r="C43" s="1">
        <v>0</v>
      </c>
      <c r="D43" s="11" t="s">
        <v>6</v>
      </c>
      <c r="E43" s="1">
        <v>24</v>
      </c>
      <c r="F43" s="11"/>
    </row>
    <row r="44" spans="1:6" x14ac:dyDescent="0.2">
      <c r="A44" s="7">
        <v>20058</v>
      </c>
      <c r="B44" s="11" t="s">
        <v>5</v>
      </c>
      <c r="C44" s="1">
        <v>0</v>
      </c>
      <c r="D44" s="11" t="s">
        <v>6</v>
      </c>
      <c r="E44" s="1">
        <v>24</v>
      </c>
      <c r="F44" s="11"/>
    </row>
    <row r="45" spans="1:6" x14ac:dyDescent="0.2">
      <c r="A45" s="7">
        <v>20060</v>
      </c>
      <c r="B45" s="11" t="s">
        <v>5</v>
      </c>
      <c r="C45" s="1">
        <v>0</v>
      </c>
      <c r="D45" s="11" t="s">
        <v>6</v>
      </c>
      <c r="E45" s="1">
        <v>24</v>
      </c>
      <c r="F45" s="11"/>
    </row>
    <row r="46" spans="1:6" x14ac:dyDescent="0.2">
      <c r="A46" s="7">
        <v>21000</v>
      </c>
      <c r="B46" s="11" t="s">
        <v>5</v>
      </c>
      <c r="C46" s="1">
        <v>0</v>
      </c>
      <c r="D46" s="11" t="s">
        <v>6</v>
      </c>
      <c r="E46" s="1">
        <v>24</v>
      </c>
      <c r="F46" s="11"/>
    </row>
    <row r="47" spans="1:6" x14ac:dyDescent="0.2">
      <c r="A47" s="7">
        <v>21002</v>
      </c>
      <c r="B47" s="11" t="s">
        <v>5</v>
      </c>
      <c r="C47" s="1">
        <v>0</v>
      </c>
      <c r="D47" s="11" t="s">
        <v>6</v>
      </c>
      <c r="E47" s="1">
        <v>24</v>
      </c>
      <c r="F47" s="11"/>
    </row>
    <row r="48" spans="1:6" x14ac:dyDescent="0.2">
      <c r="A48" s="7">
        <v>21004</v>
      </c>
      <c r="B48" s="11" t="s">
        <v>5</v>
      </c>
      <c r="C48" s="1">
        <v>0</v>
      </c>
      <c r="D48" s="11" t="s">
        <v>6</v>
      </c>
      <c r="E48" s="1">
        <v>24</v>
      </c>
      <c r="F48" s="11"/>
    </row>
    <row r="49" spans="1:6" x14ac:dyDescent="0.2">
      <c r="A49" s="7">
        <v>21006</v>
      </c>
      <c r="B49" s="11" t="s">
        <v>5</v>
      </c>
      <c r="C49" s="1">
        <v>0</v>
      </c>
      <c r="D49" s="11" t="s">
        <v>6</v>
      </c>
      <c r="E49" s="1">
        <v>24</v>
      </c>
      <c r="F49" s="11"/>
    </row>
    <row r="50" spans="1:6" x14ac:dyDescent="0.2">
      <c r="A50" s="7">
        <v>21008</v>
      </c>
      <c r="B50" s="11" t="s">
        <v>5</v>
      </c>
      <c r="C50" s="1">
        <v>0</v>
      </c>
      <c r="D50" s="11" t="s">
        <v>6</v>
      </c>
      <c r="E50" s="1">
        <v>24</v>
      </c>
      <c r="F50" s="11"/>
    </row>
    <row r="51" spans="1:6" x14ac:dyDescent="0.2">
      <c r="A51" s="7">
        <v>21010</v>
      </c>
      <c r="B51" s="11" t="s">
        <v>5</v>
      </c>
      <c r="C51" s="1">
        <v>0</v>
      </c>
      <c r="D51" s="11" t="s">
        <v>6</v>
      </c>
      <c r="E51" s="1">
        <v>24</v>
      </c>
      <c r="F51" s="11"/>
    </row>
    <row r="52" spans="1:6" x14ac:dyDescent="0.2">
      <c r="A52" s="7">
        <v>21012</v>
      </c>
      <c r="B52" s="11" t="s">
        <v>5</v>
      </c>
      <c r="C52" s="1">
        <v>0</v>
      </c>
      <c r="D52" s="11" t="s">
        <v>6</v>
      </c>
      <c r="E52" s="1">
        <v>24</v>
      </c>
      <c r="F52" s="11"/>
    </row>
    <row r="53" spans="1:6" x14ac:dyDescent="0.2">
      <c r="A53" s="7">
        <v>21014</v>
      </c>
      <c r="B53" s="11" t="s">
        <v>5</v>
      </c>
      <c r="C53" s="1">
        <v>0</v>
      </c>
      <c r="D53" s="11" t="s">
        <v>6</v>
      </c>
      <c r="E53" s="1">
        <v>24</v>
      </c>
      <c r="F53" s="11"/>
    </row>
    <row r="54" spans="1:6" x14ac:dyDescent="0.2">
      <c r="A54" s="8">
        <v>21016</v>
      </c>
      <c r="B54" s="12" t="s">
        <v>5</v>
      </c>
      <c r="C54" s="9">
        <v>0</v>
      </c>
      <c r="D54" s="12" t="s">
        <v>6</v>
      </c>
      <c r="E54" s="9">
        <v>24</v>
      </c>
      <c r="F54" s="12"/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22" sqref="G22"/>
    </sheetView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1" t="s">
        <v>85</v>
      </c>
      <c r="B1" s="40" t="s">
        <v>129</v>
      </c>
    </row>
    <row r="2" spans="1:3" ht="19" x14ac:dyDescent="0.25">
      <c r="B2" s="39" t="s">
        <v>128</v>
      </c>
    </row>
    <row r="5" spans="1:3" ht="15" x14ac:dyDescent="0.2">
      <c r="B5" s="1" t="s">
        <v>113</v>
      </c>
    </row>
    <row r="6" spans="1:3" ht="15" x14ac:dyDescent="0.2">
      <c r="A6" s="3" t="s">
        <v>53</v>
      </c>
      <c r="B6" s="49">
        <v>600</v>
      </c>
    </row>
    <row r="7" spans="1:3" ht="15" x14ac:dyDescent="0.2">
      <c r="A7" s="3" t="s">
        <v>115</v>
      </c>
      <c r="B7" s="1" t="s">
        <v>144</v>
      </c>
    </row>
    <row r="10" spans="1:3" ht="24" x14ac:dyDescent="0.3">
      <c r="A10" s="17" t="s">
        <v>124</v>
      </c>
    </row>
    <row r="11" spans="1:3" ht="15" x14ac:dyDescent="0.2">
      <c r="A11" s="31" t="s">
        <v>86</v>
      </c>
      <c r="B11" s="16" t="s">
        <v>87</v>
      </c>
      <c r="C11" s="16" t="s">
        <v>88</v>
      </c>
    </row>
    <row r="12" spans="1:3" ht="15" x14ac:dyDescent="0.2">
      <c r="A12" s="31">
        <v>44927</v>
      </c>
      <c r="B12" s="16" t="s">
        <v>59</v>
      </c>
      <c r="C12" s="16">
        <v>200</v>
      </c>
    </row>
    <row r="13" spans="1:3" ht="15" x14ac:dyDescent="0.2">
      <c r="A13" s="31">
        <v>44928</v>
      </c>
      <c r="B13" s="16" t="s">
        <v>60</v>
      </c>
      <c r="C13" s="16" t="e">
        <v>#N/A</v>
      </c>
    </row>
    <row r="14" spans="1:3" ht="15" x14ac:dyDescent="0.2">
      <c r="A14" s="31">
        <v>44929</v>
      </c>
      <c r="B14" s="16" t="s">
        <v>61</v>
      </c>
      <c r="C14" s="16">
        <v>50</v>
      </c>
    </row>
    <row r="15" spans="1:3" ht="15" x14ac:dyDescent="0.2">
      <c r="A15" s="31">
        <v>44930</v>
      </c>
      <c r="B15" s="16" t="s">
        <v>62</v>
      </c>
      <c r="C15" s="16" t="e">
        <v>#N/A</v>
      </c>
    </row>
    <row r="16" spans="1:3" ht="15" x14ac:dyDescent="0.2">
      <c r="A16" s="31">
        <v>44931</v>
      </c>
      <c r="B16" s="16" t="s">
        <v>63</v>
      </c>
      <c r="C16" s="16">
        <v>10</v>
      </c>
    </row>
    <row r="17" spans="1:3" ht="15" x14ac:dyDescent="0.2">
      <c r="A17" s="31">
        <v>44932</v>
      </c>
      <c r="B17" s="16" t="s">
        <v>116</v>
      </c>
      <c r="C17" s="16">
        <v>150</v>
      </c>
    </row>
    <row r="18" spans="1:3" ht="15" x14ac:dyDescent="0.2">
      <c r="A18" s="31">
        <v>44933</v>
      </c>
      <c r="B18" s="16" t="s">
        <v>117</v>
      </c>
      <c r="C18" s="16">
        <v>80</v>
      </c>
    </row>
    <row r="19" spans="1:3" ht="15" x14ac:dyDescent="0.2">
      <c r="A19" s="31">
        <v>44934</v>
      </c>
      <c r="B19" s="16" t="s">
        <v>118</v>
      </c>
      <c r="C19" s="16" t="e">
        <v>#N/A</v>
      </c>
    </row>
    <row r="20" spans="1:3" ht="15" x14ac:dyDescent="0.2">
      <c r="A20" s="31">
        <v>44935</v>
      </c>
      <c r="B20" s="16" t="s">
        <v>119</v>
      </c>
      <c r="C20" s="16">
        <v>30</v>
      </c>
    </row>
    <row r="21" spans="1:3" ht="15" x14ac:dyDescent="0.2">
      <c r="A21" s="31">
        <v>44936</v>
      </c>
      <c r="B21" s="16" t="s">
        <v>120</v>
      </c>
      <c r="C21" s="16" t="e">
        <v>#N/A</v>
      </c>
    </row>
    <row r="22" spans="1:3" ht="15" x14ac:dyDescent="0.2">
      <c r="B22" s="16" t="s">
        <v>121</v>
      </c>
      <c r="C22" s="25" cm="1">
        <f t="array" ref="C22">SUM(IF(ISNA(C12:C21), 20, IFERROR(C12:C21, 0)))</f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G36" sqref="G36"/>
    </sheetView>
  </sheetViews>
  <sheetFormatPr baseColWidth="10" defaultRowHeight="14" x14ac:dyDescent="0.2"/>
  <cols>
    <col min="1" max="1" width="46.3984375" style="2" customWidth="1"/>
    <col min="2" max="16384" width="11" style="2"/>
  </cols>
  <sheetData>
    <row r="1" spans="1:14" ht="21" x14ac:dyDescent="0.25">
      <c r="A1" s="41" t="s">
        <v>98</v>
      </c>
      <c r="B1" s="40" t="s">
        <v>137</v>
      </c>
    </row>
    <row r="3" spans="1:14" ht="15" x14ac:dyDescent="0.2">
      <c r="B3" s="1" t="s">
        <v>113</v>
      </c>
    </row>
    <row r="4" spans="1:14" ht="19" x14ac:dyDescent="0.25">
      <c r="A4" s="42" t="s">
        <v>53</v>
      </c>
      <c r="B4" s="1" t="s">
        <v>145</v>
      </c>
    </row>
    <row r="5" spans="1:14" ht="19" x14ac:dyDescent="0.25">
      <c r="A5" s="42" t="s">
        <v>115</v>
      </c>
      <c r="B5" s="1"/>
    </row>
    <row r="6" spans="1:14" ht="15" x14ac:dyDescent="0.2">
      <c r="A6" s="3"/>
      <c r="B6" s="1"/>
    </row>
    <row r="8" spans="1:14" ht="24" x14ac:dyDescent="0.3">
      <c r="A8" s="17" t="s">
        <v>124</v>
      </c>
      <c r="M8" s="17" t="s">
        <v>125</v>
      </c>
    </row>
    <row r="9" spans="1:14" ht="15" x14ac:dyDescent="0.2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4" x14ac:dyDescent="0.3">
      <c r="A21" s="17" t="s">
        <v>130</v>
      </c>
    </row>
    <row r="22" spans="1:14" ht="15" x14ac:dyDescent="0.2">
      <c r="A22" s="13" t="s">
        <v>100</v>
      </c>
      <c r="B22" s="16" t="s">
        <v>101</v>
      </c>
      <c r="C22" s="15" t="s">
        <v>102</v>
      </c>
    </row>
    <row r="23" spans="1:14" ht="15" x14ac:dyDescent="0.2">
      <c r="A23" s="7">
        <v>10100</v>
      </c>
      <c r="B23" s="11">
        <v>10102</v>
      </c>
      <c r="C23" s="43" t="str">
        <f>IFERROR(INDEX($B$9:$J$18, MATCH(B10,$M$9:$N$180, 0), MATCH(M10, $M$9:$N$18, 0)), "")</f>
        <v/>
      </c>
    </row>
    <row r="24" spans="1:14" ht="15" x14ac:dyDescent="0.2">
      <c r="A24" s="7">
        <v>10100</v>
      </c>
      <c r="B24" s="11">
        <v>10104</v>
      </c>
      <c r="C24" s="43" t="str">
        <f t="shared" ref="C24:C35" si="0">IFERROR(INDEX($B$9:$J$18, MATCH(B11,$M$9:$N$180, 0), MATCH(M11, $M$9:$N$18, 0)), "")</f>
        <v/>
      </c>
    </row>
    <row r="25" spans="1:14" ht="15" x14ac:dyDescent="0.2">
      <c r="A25" s="7">
        <v>10108</v>
      </c>
      <c r="B25" s="11">
        <v>10102</v>
      </c>
      <c r="C25" s="43" t="str">
        <f t="shared" si="0"/>
        <v/>
      </c>
    </row>
    <row r="26" spans="1:14" ht="15" x14ac:dyDescent="0.2">
      <c r="A26" s="7">
        <v>10100</v>
      </c>
      <c r="B26" s="11">
        <v>10106</v>
      </c>
      <c r="C26" s="43" t="str">
        <f t="shared" si="0"/>
        <v/>
      </c>
    </row>
    <row r="27" spans="1:14" ht="15" x14ac:dyDescent="0.2">
      <c r="A27" s="7">
        <v>10108</v>
      </c>
      <c r="B27" s="11">
        <v>10110</v>
      </c>
      <c r="C27" s="43" t="str">
        <f t="shared" si="0"/>
        <v/>
      </c>
    </row>
    <row r="28" spans="1:14" ht="15" x14ac:dyDescent="0.2">
      <c r="A28" s="7">
        <v>10102</v>
      </c>
      <c r="B28" s="11">
        <v>10104</v>
      </c>
      <c r="C28" s="43" t="str">
        <f t="shared" si="0"/>
        <v/>
      </c>
    </row>
    <row r="29" spans="1:14" ht="15" x14ac:dyDescent="0.2">
      <c r="A29" s="7">
        <v>10106</v>
      </c>
      <c r="B29" s="11">
        <v>10108</v>
      </c>
      <c r="C29" s="43" t="str">
        <f t="shared" si="0"/>
        <v/>
      </c>
    </row>
    <row r="30" spans="1:14" ht="15" x14ac:dyDescent="0.2">
      <c r="A30" s="7">
        <v>10102</v>
      </c>
      <c r="B30" s="11">
        <v>10106</v>
      </c>
      <c r="C30" s="43" t="str">
        <f t="shared" si="0"/>
        <v/>
      </c>
    </row>
    <row r="31" spans="1:14" ht="15" x14ac:dyDescent="0.2">
      <c r="A31" s="7">
        <v>10110</v>
      </c>
      <c r="B31" s="11">
        <v>10114</v>
      </c>
      <c r="C31" s="43" t="str">
        <f t="shared" si="0"/>
        <v/>
      </c>
    </row>
    <row r="32" spans="1:14" ht="15" x14ac:dyDescent="0.2">
      <c r="A32" s="7">
        <v>10104</v>
      </c>
      <c r="B32" s="11">
        <v>10106</v>
      </c>
      <c r="C32" s="43" t="str">
        <f t="shared" si="0"/>
        <v/>
      </c>
    </row>
    <row r="33" spans="1:3" ht="15" x14ac:dyDescent="0.2">
      <c r="A33" s="7">
        <v>10110</v>
      </c>
      <c r="B33" s="11">
        <v>10112</v>
      </c>
      <c r="C33" s="43" t="str">
        <f t="shared" si="0"/>
        <v/>
      </c>
    </row>
    <row r="34" spans="1:3" ht="15" x14ac:dyDescent="0.2">
      <c r="A34" s="7">
        <v>10100</v>
      </c>
      <c r="B34" s="11">
        <v>10114</v>
      </c>
      <c r="C34" s="43" t="str">
        <f t="shared" si="0"/>
        <v/>
      </c>
    </row>
    <row r="35" spans="1:3" ht="15" x14ac:dyDescent="0.2">
      <c r="A35" s="8">
        <v>10112</v>
      </c>
      <c r="B35" s="12">
        <v>10116</v>
      </c>
      <c r="C35" s="43" t="str">
        <f t="shared" si="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Sheet1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SRI HARINI</cp:lastModifiedBy>
  <dcterms:created xsi:type="dcterms:W3CDTF">2015-02-10T17:33:11Z</dcterms:created>
  <dcterms:modified xsi:type="dcterms:W3CDTF">2023-12-10T07:08:33Z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2023-12-10T07:08:25Z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2a2045e5-a58a-4a42-a8a3-f7d8bafca194</vt:lpwstr>
  </property>
  <property fmtid="{D5CDD505-2E9C-101B-9397-08002B2CF9AE}" pid="7" name="MSIP_Label_defa4170-0d19-0005-0004-bc88714345d2_ActionId">
    <vt:lpwstr>feae3e21-23d3-4716-ae89-6e97e8001945</vt:lpwstr>
  </property>
  <property fmtid="{D5CDD505-2E9C-101B-9397-08002B2CF9AE}" pid="8" name="MSIP_Label_defa4170-0d19-0005-0004-bc88714345d2_ContentBits">
    <vt:lpwstr>0</vt:lpwstr>
  </property>
</Properties>
</file>